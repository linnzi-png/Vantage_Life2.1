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<sst xmlns="http://schemas.openxmlformats.org/spreadsheetml/2006/main" count="5266" uniqueCount="140">
  <si>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</si>
  <si>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</si>
  <si>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</si>
  <si>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</si>
  <si>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</si>
  <si>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</si>
  <si>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</si>
  <si>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</si>
  <si>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</si>
  <si>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</si>
  <si>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</si>
  <si>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</si>
  <si>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</si>
  <si>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</si>
  <si>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</si>
  <si>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</si>
  <si>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</si>
  <si>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</si>
  <si>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</si>
  <si>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</si>
  <si>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</si>
  <si>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</si>
  <si>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</si>
  <si>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</si>
  <si>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</si>
  <si>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</si>
  <si>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</si>
  <si>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</si>
  <si>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</si>
  <si>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</si>
  <si>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</si>
  <si>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</si>
  <si>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</si>
  <si>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</si>
  <si>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</si>
  <si>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</si>
  <si>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</si>
  <si>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</si>
  <si>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</si>
  <si>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</si>
  <si>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</si>
  <si>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</si>
  <si>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</si>
  <si>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</si>
  <si>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</si>
  <si>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</si>
  <si>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</si>
  <si>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</si>
  <si>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</si>
  <si>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</si>
  <si>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</si>
  <si>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</si>
  <si>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</si>
  <si>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</si>
  <si>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</si>
  <si>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</si>
  <si>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</si>
  <si>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</si>
  <si>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Ethan Lasley</t>
  </si>
  <si>
    <t>Keith Chmiel</t>
  </si>
  <si>
    <t>TX</t>
  </si>
  <si>
    <t>Veronica Sanchez</t>
  </si>
  <si>
    <t>AZ</t>
  </si>
  <si>
    <t>Brittany Luke</t>
  </si>
  <si>
    <t>Kristen Fox</t>
  </si>
  <si>
    <t>NC</t>
  </si>
  <si>
    <t>Marci Dyer</t>
  </si>
  <si>
    <t>Polly Roten</t>
  </si>
  <si>
    <t>Joylynn Harris</t>
  </si>
  <si>
    <t>Shafay Sutton</t>
  </si>
  <si>
    <t>IL</t>
  </si>
  <si>
    <t>Michael Hall</t>
  </si>
  <si>
    <t>TN</t>
  </si>
  <si>
    <t>Preston Opperman</t>
  </si>
  <si>
    <t>Bilal Abdullah</t>
  </si>
  <si>
    <t>Kain White-Conley</t>
  </si>
  <si>
    <t>NH</t>
  </si>
  <si>
    <t>Regina Gumma</t>
  </si>
  <si>
    <t>Andre Alire</t>
  </si>
  <si>
    <t>Kelvin Claney</t>
  </si>
  <si>
    <t>Patty Kilburn</t>
  </si>
  <si>
    <t>Shana Clapp</t>
  </si>
  <si>
    <t>Jacob Bandyk</t>
  </si>
  <si>
    <t>Angelo Perez</t>
  </si>
  <si>
    <t>Nicolas Smith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</si>
  <si>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</si>
  <si>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</si>
  <si>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</si>
  <si>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</si>
  <si>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</si>
  <si>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</si>
  <si>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</si>
  <si>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Tiera Williams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</si>
  <si>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</si>
  <si>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</si>
  <si>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</si>
  <si>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</si>
  <si>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</si>
  <si>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</si>
  <si>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</si>
  <si>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</si>
  <si>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</si>
  <si>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</si>
  <si>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NJ</t>
  </si>
  <si>
    <t>Donte Grant</t>
  </si>
  <si>
    <t>Tamiko Byrd</t>
  </si>
  <si>
    <t>Jamell Ramsay</t>
  </si>
  <si>
    <t>SC</t>
  </si>
  <si>
    <t>William Benline</t>
  </si>
  <si>
    <t>Ken Hermann</t>
  </si>
  <si>
    <t>Emmy Phipps</t>
  </si>
  <si>
    <t>Annie Ransom</t>
  </si>
  <si>
    <t>OR</t>
  </si>
  <si>
    <t>Caroline Sanazaro</t>
  </si>
  <si>
    <t>O'Neil Mbakwe</t>
  </si>
  <si>
    <t>Alexa Legg</t>
  </si>
  <si>
    <t>Crystal Mekdarasack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</si>
  <si>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</si>
  <si>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</si>
  <si>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</si>
  <si>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</si>
  <si>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</si>
  <si>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</si>
  <si>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</si>
  <si>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</si>
  <si>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</si>
  <si>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</si>
  <si>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</si>
  <si>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</si>
  <si>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</si>
  <si>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</si>
  <si>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</si>
  <si>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</si>
  <si>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</si>
  <si>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NICOLE GRANT</t>
  </si>
  <si>
    <t>EDDIE LEON</t>
  </si>
  <si>
    <t>GOJCAJ</t>
  </si>
  <si>
    <t>N/A</t>
  </si>
  <si>
    <t>YES</t>
  </si>
  <si>
    <t>CANCEL, REWRITE PER AGENT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</si>
</sst>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2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2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2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readingOrder="0"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22" fillId="0" fontId="14" numFmtId="0" xfId="0" applyAlignment="1" applyBorder="1" applyFont="1">
      <alignment readingOrder="0" vertical="bottom"/>
    </xf>
    <xf borderId="17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2" fillId="0" fontId="11" numFmtId="0" xfId="0" applyAlignment="1" applyBorder="1" applyFont="1">
      <alignment readingOrder="0" shrinkToFit="0" vertical="bottom" wrapText="1"/>
    </xf>
    <xf borderId="22" fillId="0" fontId="1" numFmtId="0" xfId="0" applyAlignment="1" applyBorder="1" applyFont="1">
      <alignment vertical="bottom"/>
    </xf>
    <xf borderId="22" fillId="4" fontId="14" numFmtId="0" xfId="0" applyAlignment="1" applyBorder="1" applyFont="1">
      <alignment readingOrder="0" vertical="bottom"/>
    </xf>
    <xf borderId="22" fillId="4" fontId="1" numFmtId="0" xfId="0" applyAlignment="1" applyBorder="1" applyFont="1">
      <alignment vertical="bottom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5" numFmtId="0" xfId="0" applyAlignment="1" applyBorder="1" applyFont="1">
      <alignment shrinkToFit="0" vertical="bottom" wrapText="1"/>
    </xf>
    <xf borderId="22" fillId="3" fontId="16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7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shrinkToFit="0" vertical="center" wrapText="1"/>
    </xf>
    <xf borderId="22" fillId="4" fontId="17" numFmtId="0" xfId="0" applyAlignment="1" applyBorder="1" applyFont="1">
      <alignment readingOrder="0" vertical="center"/>
    </xf>
    <xf borderId="22" fillId="4" fontId="17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22" fillId="4" fontId="12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vertical="bottom"/>
    </xf>
    <xf borderId="22" fillId="0" fontId="17" numFmtId="0" xfId="0" applyAlignment="1" applyBorder="1" applyFont="1">
      <alignment shrinkToFit="0" vertical="bottom" wrapText="1"/>
    </xf>
    <xf borderId="19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5" fontId="1" numFmtId="0" xfId="0" applyAlignment="1" applyBorder="1" applyFont="1">
      <alignment vertical="bottom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7" fillId="6" fontId="9" numFmtId="9" xfId="0" applyAlignment="1" applyBorder="1" applyFont="1" applyNumberFormat="1">
      <alignment horizontal="right" readingOrder="0" vertical="center"/>
    </xf>
    <xf borderId="22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56482</v>
      </c>
      <c r="D2" s="10"/>
      <c r="E2" s="11">
        <f t="shared" ref="E2:R2" si="1">SUM(E5,E17,E20,E23,E26,E29)</f>
        <v>49463</v>
      </c>
      <c r="F2" s="11">
        <f t="shared" si="1"/>
        <v>197</v>
      </c>
      <c r="G2" s="11">
        <f t="shared" si="1"/>
        <v>90</v>
      </c>
      <c r="H2" s="11">
        <f t="shared" si="1"/>
        <v>34</v>
      </c>
      <c r="I2" s="11">
        <f t="shared" si="1"/>
        <v>17</v>
      </c>
      <c r="J2" s="11">
        <f t="shared" si="1"/>
        <v>11</v>
      </c>
      <c r="K2" s="11">
        <f t="shared" si="1"/>
        <v>22</v>
      </c>
      <c r="L2" s="11">
        <f t="shared" si="1"/>
        <v>4</v>
      </c>
      <c r="M2" s="11">
        <f t="shared" si="1"/>
        <v>190</v>
      </c>
      <c r="N2" s="11">
        <f t="shared" si="1"/>
        <v>47</v>
      </c>
      <c r="O2" s="11">
        <f t="shared" si="1"/>
        <v>21</v>
      </c>
      <c r="P2" s="11">
        <f t="shared" si="1"/>
        <v>42</v>
      </c>
      <c r="Q2" s="11">
        <f t="shared" si="1"/>
        <v>17</v>
      </c>
      <c r="R2" s="11">
        <f t="shared" si="1"/>
        <v>22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1661.235294</v>
      </c>
      <c r="F4" s="24">
        <f>IFERROR((G2+R2)/F2,0)</f>
        <v>0.5685279188</v>
      </c>
      <c r="G4" s="24">
        <f>IFERROR(H2/G2,0)</f>
        <v>0.3777777778</v>
      </c>
      <c r="H4" s="23">
        <f>(C2/C4)</f>
        <v>855.7878788</v>
      </c>
      <c r="I4" s="25"/>
      <c r="J4" s="24">
        <f>IFERROR(J2/I2,0)</f>
        <v>0.6470588235</v>
      </c>
      <c r="K4" s="25"/>
      <c r="L4" s="24">
        <f>IFERROR(L2/K2,0)</f>
        <v>0.1818181818</v>
      </c>
      <c r="M4" s="26">
        <f>IFERROR(M2/G2,0)</f>
        <v>2.111111111</v>
      </c>
      <c r="N4" s="25"/>
      <c r="O4" s="24">
        <f>IFERROR(O2/N2,0)</f>
        <v>0.4468085106</v>
      </c>
      <c r="P4" s="26"/>
      <c r="Q4" s="24">
        <f>IFERROR(Q2/P2,0)</f>
        <v>0.4047619048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56482</v>
      </c>
      <c r="D5" s="31"/>
      <c r="E5" s="32">
        <f>SUMIFS(T:T,A:A,B5,D:D,"Y")</f>
        <v>49463</v>
      </c>
      <c r="F5" s="11">
        <f>SUMIF(A:A,B5,G:G)</f>
        <v>197</v>
      </c>
      <c r="G5" s="11">
        <f>SUMIF(A:A,B5,H:H)</f>
        <v>87</v>
      </c>
      <c r="H5" s="11">
        <f>SUMIF(A:A,B5,I:I)</f>
        <v>34</v>
      </c>
      <c r="I5" s="11">
        <f>SUMIF(A:A,B5,P:P)</f>
        <v>17</v>
      </c>
      <c r="J5" s="11">
        <f>SUMIF(A:A,B5,Q:Q)</f>
        <v>11</v>
      </c>
      <c r="K5" s="11">
        <f>SUMIF(A:A,B5,R:R)</f>
        <v>20</v>
      </c>
      <c r="L5" s="11">
        <f>SUMIF(A:A,B5,S:S)</f>
        <v>4</v>
      </c>
      <c r="M5" s="11">
        <f>SUMIF(A:A,B5,M:M)</f>
        <v>185</v>
      </c>
      <c r="N5" s="11">
        <f>SUMIF(A:A,B5,N:N)</f>
        <v>46</v>
      </c>
      <c r="O5" s="11">
        <f>SUMIF(A:A,B5,O:O)</f>
        <v>21</v>
      </c>
      <c r="P5" s="11">
        <f>SUMIF(A:A,B5,J:J)</f>
        <v>40</v>
      </c>
      <c r="Q5" s="11">
        <f>SUMIF(A:A,B5,K:K)</f>
        <v>17</v>
      </c>
      <c r="R5" s="33">
        <f>SUMIF(A:A,B5,L:L)</f>
        <v>22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1661.235294</v>
      </c>
      <c r="F7" s="41">
        <f>IFERROR((G5+R5)/F5,0)</f>
        <v>0.5532994924</v>
      </c>
      <c r="G7" s="41">
        <f>IFERROR(H5/G5,0)</f>
        <v>0.3908045977</v>
      </c>
      <c r="H7" s="40">
        <f>(C5/C7)</f>
        <v>1661.235294</v>
      </c>
      <c r="I7" s="42"/>
      <c r="J7" s="41">
        <f>IFERROR(J5/I5,0)</f>
        <v>0.6470588235</v>
      </c>
      <c r="K7" s="42"/>
      <c r="L7" s="41">
        <f>IFERROR(L5/K5,0)</f>
        <v>0.2</v>
      </c>
      <c r="M7" s="43">
        <f>IFERROR(M5/SUM(R5+G5,0),"")</f>
        <v>1.697247706</v>
      </c>
      <c r="N7" s="42"/>
      <c r="O7" s="41">
        <f>IFERROR(O5/N5,0)</f>
        <v>0.4565217391</v>
      </c>
      <c r="P7" s="43"/>
      <c r="Q7" s="41">
        <f>IFERROR(Q5/P5,0)</f>
        <v>0.425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20376</v>
      </c>
      <c r="D8" s="48"/>
      <c r="E8" s="49">
        <f>SUMIFS(T:T,B:B,B8,D:D,"Y")</f>
        <v>17669</v>
      </c>
      <c r="F8" s="50">
        <f>SUMIF(B28:B1084,B8,G28:G1084)</f>
        <v>73</v>
      </c>
      <c r="G8" s="51">
        <f>SUMIF(B28:B1084,B8,H28:H1084)</f>
        <v>36</v>
      </c>
      <c r="H8" s="51">
        <f>SUMIF(B28:B1084,B8,I28:I1084)</f>
        <v>9</v>
      </c>
      <c r="I8" s="51">
        <f>SUMIF(B28:B1084,B8,P28:P1084)</f>
        <v>4</v>
      </c>
      <c r="J8" s="51">
        <f>SUMIF(B28:B1084,B8,Q28:Q1084)</f>
        <v>2</v>
      </c>
      <c r="K8" s="51">
        <f>SUMIF(B28:B1084,B8,R28:R1084)</f>
        <v>13</v>
      </c>
      <c r="L8" s="51">
        <f>SUMIF(B28:B1084,B8,S28:S1084)</f>
        <v>1</v>
      </c>
      <c r="M8" s="51">
        <f>SUMIF(B28:B1084,B8,M28:M1084)</f>
        <v>106</v>
      </c>
      <c r="N8" s="51">
        <f>SUMIF(B28:B1084,B8,N28:N1084)</f>
        <v>16</v>
      </c>
      <c r="O8" s="51">
        <f>SUMIF(B28:B1084,B8,O28:O1084)</f>
        <v>6</v>
      </c>
      <c r="P8" s="51">
        <f>SUMIF(B28:B1084,B8,J28:J1084)</f>
        <v>9</v>
      </c>
      <c r="Q8" s="51">
        <f>SUMIF(B28:B1084,B8,K28:K1084)</f>
        <v>3</v>
      </c>
      <c r="R8" s="52">
        <f>SUMIF(B28:B1084,B8,L28:L1084)</f>
        <v>9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COUNTIFS(B35:B1084,B8)</f>
        <v>14</v>
      </c>
      <c r="D10" s="58"/>
      <c r="E10" s="23">
        <f>IFERROR(C8/H8,0)</f>
        <v>2264</v>
      </c>
      <c r="F10" s="24">
        <f>IFERROR((G8+R8)/F8,0)</f>
        <v>0.6164383562</v>
      </c>
      <c r="G10" s="24">
        <f>IFERROR(H8/G8,0)</f>
        <v>0.25</v>
      </c>
      <c r="H10" s="23">
        <f>(C8/C10)</f>
        <v>1455.428571</v>
      </c>
      <c r="I10" s="25"/>
      <c r="J10" s="24">
        <f>IFERROR(J8/I8,0)</f>
        <v>0.5</v>
      </c>
      <c r="K10" s="25"/>
      <c r="L10" s="24">
        <f>IFERROR(L8/K8,0)</f>
        <v>0.07692307692</v>
      </c>
      <c r="M10" s="26">
        <f>IFERROR(M8/SUM(R8+G8,0),"")</f>
        <v>2.355555556</v>
      </c>
      <c r="N10" s="25"/>
      <c r="O10" s="24">
        <f>IFERROR(O8/N8,0)</f>
        <v>0.375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34974</v>
      </c>
      <c r="D11" s="48"/>
      <c r="E11" s="59">
        <f>SUMIFS(T:T,B:B,B11,D:D,"Y")</f>
        <v>30662</v>
      </c>
      <c r="F11" s="60">
        <f>SUMIF(B31:B1084,B11,G31:G1084)</f>
        <v>104</v>
      </c>
      <c r="G11" s="61">
        <f>SUMIF(B31:B1084,B11,H31:H1084)</f>
        <v>44</v>
      </c>
      <c r="H11" s="61">
        <f>SUMIF(B31:B1084,B11,I31:I1084)</f>
        <v>24</v>
      </c>
      <c r="I11" s="61">
        <f>SUMIF(B31:B1084,B11,P31:P1084)</f>
        <v>13</v>
      </c>
      <c r="J11" s="61">
        <f>SUMIF(B31:B1084,B11,Q31:Q1084)</f>
        <v>9</v>
      </c>
      <c r="K11" s="61">
        <f>SUMIF(B31:B1084,B11,R31:R1084)</f>
        <v>4</v>
      </c>
      <c r="L11" s="61">
        <f>SUMIF(B31:B1084,B11,S31:S1084)</f>
        <v>2</v>
      </c>
      <c r="M11" s="61">
        <f>SUMIF(B31:B1084,B11,M31:M1084)</f>
        <v>60</v>
      </c>
      <c r="N11" s="61">
        <f>SUMIF(B31:B1084,B11,N31:N1084)</f>
        <v>27</v>
      </c>
      <c r="O11" s="61">
        <f>SUMIF(B31:B1084,B11,O31:O1084)</f>
        <v>15</v>
      </c>
      <c r="P11" s="61">
        <f>SUMIF(B31:B1084,B11,J31:J1084)</f>
        <v>23</v>
      </c>
      <c r="Q11" s="61">
        <f>SUMIF(B31:B1084,B11,K31:K1084)</f>
        <v>12</v>
      </c>
      <c r="R11" s="62">
        <f>SUMIF(B31:B1084,B11,L31:L1084)</f>
        <v>5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COUNTIFS(B36:B1084,B11)</f>
        <v>4</v>
      </c>
      <c r="D13" s="58"/>
      <c r="E13" s="23">
        <f>IFERROR(C11/H11,0)</f>
        <v>1457.25</v>
      </c>
      <c r="F13" s="24">
        <f>IFERROR((G11+R11)/F11,0)</f>
        <v>0.4711538462</v>
      </c>
      <c r="G13" s="24">
        <f>IFERROR(H11/G11,0)</f>
        <v>0.5454545455</v>
      </c>
      <c r="H13" s="23">
        <f>(C11/C13)</f>
        <v>8743.5</v>
      </c>
      <c r="I13" s="25"/>
      <c r="J13" s="24">
        <f>IFERROR(J11/I11,0)</f>
        <v>0.6923076923</v>
      </c>
      <c r="K13" s="25"/>
      <c r="L13" s="24">
        <f>IFERROR(L11/K11,0)</f>
        <v>0.5</v>
      </c>
      <c r="M13" s="26">
        <f>IFERROR(M11/SUM(R11+G11,0),"")</f>
        <v>1.224489796</v>
      </c>
      <c r="N13" s="25"/>
      <c r="O13" s="24">
        <f>IFERROR(O11/N11,0)</f>
        <v>0.5555555556</v>
      </c>
      <c r="P13" s="26"/>
      <c r="Q13" s="24">
        <f>IFERROR(Q11/P11,0)</f>
        <v>0.5217391304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1132</v>
      </c>
      <c r="D14" s="64"/>
      <c r="E14" s="65">
        <f>SUMIFS(T:T,B:B,B14,D:D,"Y")</f>
        <v>1132</v>
      </c>
      <c r="F14" s="66">
        <f>SUMIF(B34:B1084,B14,G34:G1084)</f>
        <v>20</v>
      </c>
      <c r="G14" s="67">
        <f>SUMIF(B34:B1084,B14,H34:H1084)</f>
        <v>7</v>
      </c>
      <c r="H14" s="67">
        <f>SUMIF(B34:B1084,B14,I34:I1084)</f>
        <v>1</v>
      </c>
      <c r="I14" s="67">
        <f>SUMIF(B34:B1084,B14,P34:P1084)</f>
        <v>0</v>
      </c>
      <c r="J14" s="67">
        <f>SUMIF(B34:B1084,B14,Q34:Q1084)</f>
        <v>0</v>
      </c>
      <c r="K14" s="67">
        <f>SUMIF(B34:B1084,B14,R34:R1084)</f>
        <v>3</v>
      </c>
      <c r="L14" s="67">
        <f>SUMIF(B34:B1084,B14,S34:S1084)</f>
        <v>1</v>
      </c>
      <c r="M14" s="67">
        <f>SUMIF(B34:B1084,B14,M34:M1084)</f>
        <v>19</v>
      </c>
      <c r="N14" s="67">
        <f>SUMIF(B34:B1084,B14,N34:N1084)</f>
        <v>3</v>
      </c>
      <c r="O14" s="67">
        <f>SUMIF(B34:B1084,B14,O34:O1084)</f>
        <v>0</v>
      </c>
      <c r="P14" s="67">
        <f>SUMIF(B34:B1084,B14,J34:J1084)</f>
        <v>8</v>
      </c>
      <c r="Q14" s="67">
        <f>SUMIF(B34:B1084,B14,K34:K1084)</f>
        <v>2</v>
      </c>
      <c r="R14" s="68">
        <f>SUMIF(B34:B1084,B14,L34:L1084)</f>
        <v>8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COUNTIFS(B34:B1084,B14)</f>
        <v>15</v>
      </c>
      <c r="D16" s="58"/>
      <c r="E16" s="23">
        <f>IFERROR(C14/H14,0)</f>
        <v>1132</v>
      </c>
      <c r="F16" s="24">
        <f>IFERROR((G14+R14)/F14,0)</f>
        <v>0.75</v>
      </c>
      <c r="G16" s="24">
        <f>IFERROR(H14/G14,0)</f>
        <v>0.1428571429</v>
      </c>
      <c r="H16" s="23">
        <f>(C14/C16)</f>
        <v>75.46666667</v>
      </c>
      <c r="I16" s="25"/>
      <c r="J16" s="24">
        <f>IFERROR(J14/I14,0)</f>
        <v>0</v>
      </c>
      <c r="K16" s="25"/>
      <c r="L16" s="24">
        <f>IFERROR(L14/K14,0)</f>
        <v>0.3333333333</v>
      </c>
      <c r="M16" s="26">
        <f>IFERROR(M14/SUM(G14+R14,0),"")</f>
        <v>1.266666667</v>
      </c>
      <c r="N16" s="25"/>
      <c r="O16" s="24">
        <f>IFERROR(O14/N14,0)</f>
        <v>0</v>
      </c>
      <c r="P16" s="26"/>
      <c r="Q16" s="24">
        <f>IFERROR(Q14/P14,0)</f>
        <v>0.25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3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2</v>
      </c>
      <c r="L23" s="11">
        <f>SUMIF(A:A,B23,S:S)</f>
        <v>0</v>
      </c>
      <c r="M23" s="11">
        <f>SUMIF(A:A,B23,M:M)</f>
        <v>5</v>
      </c>
      <c r="N23" s="11">
        <f>SUMIF(A:A,B23,N:N)</f>
        <v>1</v>
      </c>
      <c r="O23" s="11">
        <f>SUMIF(A:A,B23,O:O)</f>
        <v>0</v>
      </c>
      <c r="P23" s="11">
        <f>SUMIF(A:A,B23,J:J)</f>
        <v>2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1.666666667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8</v>
      </c>
      <c r="H35" s="110">
        <f>('Thurs (2)'!H35+Thurs!H35+'Tues '!H35+Wed!H35+Fri!H35+'Mon '!H35+'Wed (2)'!H35+Sun!H35+Sat!H35)</f>
        <v>4</v>
      </c>
      <c r="I35" s="110">
        <f>('Thurs (2)'!I35+Thurs!I35+'Tues '!I35+Wed!I35+Fri!I35+'Mon '!I35+'Wed (2)'!I35+Sun!I35+Sat!I35)</f>
        <v>2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2</v>
      </c>
      <c r="N35" s="110">
        <f>('Thurs (2)'!N35+Thurs!N35+'Tues '!N35+Wed!N35+Fri!N35+'Mon '!N35+'Wed (2)'!N35+Sun!N35+Sat!N35)</f>
        <v>0</v>
      </c>
      <c r="O35" s="110">
        <f>('Thurs (2)'!O35+Thurs!O35+'Tues '!O35+Wed!O35+Fri!O35+'Mon '!O35+'Wed (2)'!O35+Sun!O35+Sat!O35)</f>
        <v>0</v>
      </c>
      <c r="P35" s="110">
        <f>('Thurs (2)'!P35+Thurs!P35+'Tues '!P35+Wed!P35+Fri!P35+'Mon '!P35+'Wed (2)'!P35+Sun!P35+Sat!P35)</f>
        <v>4</v>
      </c>
      <c r="Q35" s="110">
        <f>('Thurs (2)'!Q35+Thurs!Q35+'Tues '!Q35+Wed!Q35+Fri!Q35+'Mon '!Q35+'Wed (2)'!Q35+Sun!Q35+Sat!Q35)</f>
        <v>2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5255</v>
      </c>
      <c r="U35" s="111">
        <f t="shared" si="2"/>
        <v>0.5</v>
      </c>
      <c r="V35" s="111">
        <f t="shared" si="3"/>
        <v>0.5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0</v>
      </c>
      <c r="H36" s="110">
        <f>('Thurs (2)'!H36+Thurs!H36+'Tues '!H36+Wed!H36+Fri!H36+'Mon '!H36+'Wed (2)'!H36+Sun!H36+Sat!H36)</f>
        <v>0</v>
      </c>
      <c r="I36" s="110">
        <f>('Thurs (2)'!I36+Thurs!I36+'Tues '!I36+Wed!I36+Fri!I36+'Mon '!I36+'Wed (2)'!I36+Sun!I36+Sat!I36)</f>
        <v>0</v>
      </c>
      <c r="J36" s="110">
        <f>('Thurs (2)'!J36+Thurs!J36+'Tues '!J36+Wed!J36+Fri!J36+'Mon '!J36+'Wed (2)'!J36+Sun!J36+Sat!J36)</f>
        <v>0</v>
      </c>
      <c r="K36" s="110">
        <f>('Thurs (2)'!K36+Thurs!K36+'Tues '!K36+Wed!K36+Fri!K36+'Mon '!K36+'Wed (2)'!K36+Sun!K36+Sat!K36)</f>
        <v>0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0</v>
      </c>
      <c r="N36" s="110">
        <f>('Thurs (2)'!N36+Thurs!N36+'Tues '!N36+Wed!N36+Fri!N36+'Mon '!N36+'Wed (2)'!N36+Sun!N36+Sat!N36)</f>
        <v>0</v>
      </c>
      <c r="O36" s="110">
        <f>('Thurs (2)'!O36+Thurs!O36+'Tues '!O36+Wed!O36+Fri!O36+'Mon '!O36+'Wed (2)'!O36+Sun!O36+Sat!O36)</f>
        <v>0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0</v>
      </c>
      <c r="S36" s="110">
        <f>('Thurs (2)'!S36+Thurs!S36+'Tues '!S36+Wed!S36+Fri!S36+'Mon '!S36+'Wed (2)'!S36+Sun!S36+Sat!S36)</f>
        <v>0</v>
      </c>
      <c r="T36" s="110">
        <f>('Thurs (2)'!T36+Thurs!T36+'Tues '!T36+Wed!T36+Fri!T36+'Mon '!T36+'Wed (2)'!T36+Sun!T36+Sat!T36)</f>
        <v>0</v>
      </c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10</v>
      </c>
      <c r="H37" s="110">
        <f>('Thurs (2)'!H37+Thurs!H37+'Tues '!H37+Wed!H37+Fri!H37+'Mon '!H37+'Wed (2)'!H37+Sun!H37+Sat!H37)</f>
        <v>12</v>
      </c>
      <c r="I37" s="110">
        <f>('Thurs (2)'!I37+Thurs!I37+'Tues '!I37+Wed!I37+Fri!I37+'Mon '!I37+'Wed (2)'!I37+Sun!I37+Sat!I37)</f>
        <v>2</v>
      </c>
      <c r="J37" s="110">
        <f>('Thurs (2)'!J37+Thurs!J37+'Tues '!J37+Wed!J37+Fri!J37+'Mon '!J37+'Wed (2)'!J37+Sun!J37+Sat!J37)</f>
        <v>4</v>
      </c>
      <c r="K37" s="110">
        <f>('Thurs (2)'!K37+Thurs!K37+'Tues '!K37+Wed!K37+Fri!K37+'Mon '!K37+'Wed (2)'!K37+Sun!K37+Sat!K37)</f>
        <v>1</v>
      </c>
      <c r="L37" s="110">
        <f>('Thurs (2)'!L37+Thurs!L37+'Tues '!L37+Wed!L37+Fri!L37+'Mon '!L37+'Wed (2)'!L37+Sun!L37+Sat!L37)</f>
        <v>5</v>
      </c>
      <c r="M37" s="110">
        <f>('Thurs (2)'!M37+Thurs!M37+'Tues '!M37+Wed!M37+Fri!M37+'Mon '!M37+'Wed (2)'!M37+Sun!M37+Sat!M37)</f>
        <v>37</v>
      </c>
      <c r="N37" s="110">
        <f>('Thurs (2)'!N37+Thurs!N37+'Tues '!N37+Wed!N37+Fri!N37+'Mon '!N37+'Wed (2)'!N37+Sun!N37+Sat!N37)</f>
        <v>2</v>
      </c>
      <c r="O37" s="110">
        <f>('Thurs (2)'!O37+Thurs!O37+'Tues '!O37+Wed!O37+Fri!O37+'Mon '!O37+'Wed (2)'!O37+Sun!O37+Sat!O37)</f>
        <v>1</v>
      </c>
      <c r="P37" s="110">
        <f>('Thurs (2)'!P37+Thurs!P37+'Tues '!P37+Wed!P37+Fri!P37+'Mon '!P37+'Wed (2)'!P37+Sun!P37+Sat!P37)</f>
        <v>0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8</v>
      </c>
      <c r="S37" s="110">
        <f>('Thurs (2)'!S37+Thurs!S37+'Tues '!S37+Wed!S37+Fri!S37+'Mon '!S37+'Wed (2)'!S37+Sun!S37+Sat!S37)</f>
        <v>1</v>
      </c>
      <c r="T37" s="110">
        <f>('Thurs (2)'!T37+Thurs!T37+'Tues '!T37+Wed!T37+Fri!T37+'Mon '!T37+'Wed (2)'!T37+Sun!T37+Sat!T37)</f>
        <v>8472</v>
      </c>
      <c r="U37" s="111">
        <f t="shared" si="2"/>
        <v>0.1666666667</v>
      </c>
      <c r="V37" s="111">
        <f t="shared" si="3"/>
        <v>1.7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25</v>
      </c>
      <c r="H38" s="110">
        <f>('Thurs (2)'!H38+Thurs!H38+'Tues '!H38+Wed!H38+Fri!H38+'Mon '!H38+'Wed (2)'!H38+Sun!H38+Sat!H38)</f>
        <v>9</v>
      </c>
      <c r="I38" s="110">
        <f>('Thurs (2)'!I38+Thurs!I38+'Tues '!I38+Wed!I38+Fri!I38+'Mon '!I38+'Wed (2)'!I38+Sun!I38+Sat!I38)</f>
        <v>1</v>
      </c>
      <c r="J38" s="110">
        <f>('Thurs (2)'!J38+Thurs!J38+'Tues '!J38+Wed!J38+Fri!J38+'Mon '!J38+'Wed (2)'!J38+Sun!J38+Sat!J38)</f>
        <v>1</v>
      </c>
      <c r="K38" s="110">
        <f>('Thurs (2)'!K38+Thurs!K38+'Tues '!K38+Wed!K38+Fri!K38+'Mon '!K38+'Wed (2)'!K38+Sun!K38+Sat!K38)</f>
        <v>0</v>
      </c>
      <c r="L38" s="110">
        <f>('Thurs (2)'!L38+Thurs!L38+'Tues '!L38+Wed!L38+Fri!L38+'Mon '!L38+'Wed (2)'!L38+Sun!L38+Sat!L38)</f>
        <v>2</v>
      </c>
      <c r="M38" s="110">
        <f>('Thurs (2)'!M38+Thurs!M38+'Tues '!M38+Wed!M38+Fri!M38+'Mon '!M38+'Wed (2)'!M38+Sun!M38+Sat!M38)</f>
        <v>36</v>
      </c>
      <c r="N38" s="110">
        <f>('Thurs (2)'!N38+Thurs!N38+'Tues '!N38+Wed!N38+Fri!N38+'Mon '!N38+'Wed (2)'!N38+Sun!N38+Sat!N38)</f>
        <v>8</v>
      </c>
      <c r="O38" s="110">
        <f>('Thurs (2)'!O38+Thurs!O38+'Tues '!O38+Wed!O38+Fri!O38+'Mon '!O38+'Wed (2)'!O38+Sun!O38+Sat!O38)</f>
        <v>1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2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1700</v>
      </c>
      <c r="U38" s="111">
        <f t="shared" si="2"/>
        <v>0.1111111111</v>
      </c>
      <c r="V38" s="111">
        <f t="shared" si="3"/>
        <v>0.44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>
        <f>('Thurs (2)'!G39+Thurs!G39+'Tues '!G39+Wed!G39+Fri!G39+'Mon '!G39+'Wed (2)'!G39+Sun!G39+Sat!G39)</f>
        <v>0</v>
      </c>
      <c r="H39" s="110">
        <f>('Thurs (2)'!H39+Thurs!H39+'Tues '!H39+Wed!H39+Fri!H39+'Mon '!H39+'Wed (2)'!H39+Sun!H39+Sat!H39)</f>
        <v>0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0</v>
      </c>
      <c r="N39" s="110">
        <f>('Thurs (2)'!N39+Thurs!N39+'Tues '!N39+Wed!N39+Fri!N39+'Mon '!N39+'Wed (2)'!N39+Sun!N39+Sat!N39)</f>
        <v>0</v>
      </c>
      <c r="O39" s="110">
        <f>('Thurs (2)'!O39+Thurs!O39+'Tues '!O39+Wed!O39+Fri!O39+'Mon '!O39+'Wed (2)'!O39+Sun!O39+Sat!O39)</f>
        <v>0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>
        <f>('Thurs (2)'!G40+Thurs!G40+'Tues '!G40+Wed!G40+Fri!G40+'Mon '!G40+'Wed (2)'!G40+Sun!G40+Sat!G40)</f>
        <v>4</v>
      </c>
      <c r="H40" s="110">
        <f>('Thurs (2)'!H40+Thurs!H40+'Tues '!H40+Wed!H40+Fri!H40+'Mon '!H40+'Wed (2)'!H40+Sun!H40+Sat!H40)</f>
        <v>2</v>
      </c>
      <c r="I40" s="110">
        <f>('Thurs (2)'!I40+Thurs!I40+'Tues '!I40+Wed!I40+Fri!I40+'Mon '!I40+'Wed (2)'!I40+Sun!I40+Sat!I40)</f>
        <v>0</v>
      </c>
      <c r="J40" s="110">
        <f>('Thurs (2)'!J40+Thurs!J40+'Tues '!J40+Wed!J40+Fri!J40+'Mon '!J40+'Wed (2)'!J40+Sun!J40+Sat!J40)</f>
        <v>0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0</v>
      </c>
      <c r="M40" s="110">
        <f>('Thurs (2)'!M40+Thurs!M40+'Tues '!M40+Wed!M40+Fri!M40+'Mon '!M40+'Wed (2)'!M40+Sun!M40+Sat!M40)</f>
        <v>0</v>
      </c>
      <c r="N40" s="110">
        <f>('Thurs (2)'!N40+Thurs!N40+'Tues '!N40+Wed!N40+Fri!N40+'Mon '!N40+'Wed (2)'!N40+Sun!N40+Sat!N40)</f>
        <v>0</v>
      </c>
      <c r="O40" s="110">
        <f>('Thurs (2)'!O40+Thurs!O40+'Tues '!O40+Wed!O40+Fri!O40+'Mon '!O40+'Wed (2)'!O40+Sun!O40+Sat!O40)</f>
        <v>0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0</v>
      </c>
      <c r="S40" s="110">
        <f>('Thurs (2)'!S40+Thurs!S40+'Tues '!S40+Wed!S40+Fri!S40+'Mon '!S40+'Wed (2)'!S40+Sun!S40+Sat!S40)</f>
        <v>0</v>
      </c>
      <c r="T40" s="110">
        <f>('Thurs (2)'!T40+Thurs!T40+'Tues '!T40+Wed!T40+Fri!T40+'Mon '!T40+'Wed (2)'!T40+Sun!T40+Sat!T40)</f>
        <v>0</v>
      </c>
      <c r="U40" s="111">
        <f t="shared" si="2"/>
        <v>0</v>
      </c>
      <c r="V40" s="111">
        <f t="shared" si="3"/>
        <v>0.5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>
        <f>('Thurs (2)'!G41+Thurs!G41+'Tues '!G41+Wed!G41+Fri!G41+'Mon '!G41+'Wed (2)'!G41+Sun!G41+Sat!G41)</f>
        <v>0</v>
      </c>
      <c r="H41" s="110">
        <f>('Thurs (2)'!H41+Thurs!H41+'Tues '!H41+Wed!H41+Fri!H41+'Mon '!H41+'Wed (2)'!H41+Sun!H41+Sat!H41)</f>
        <v>0</v>
      </c>
      <c r="I41" s="110">
        <f>('Thurs (2)'!I41+Thurs!I41+'Tues '!I41+Wed!I41+Fri!I41+'Mon '!I41+'Wed (2)'!I41+Sun!I41+Sat!I41)</f>
        <v>0</v>
      </c>
      <c r="J41" s="110">
        <f>('Thurs (2)'!J41+Thurs!J41+'Tues '!J41+Wed!J41+Fri!J41+'Mon '!J41+'Wed (2)'!J41+Sun!J41+Sat!J41)</f>
        <v>0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0</v>
      </c>
      <c r="M41" s="110">
        <f>('Thurs (2)'!M41+Thurs!M41+'Tues '!M41+Wed!M41+Fri!M41+'Mon '!M41+'Wed (2)'!M41+Sun!M41+Sat!M41)</f>
        <v>0</v>
      </c>
      <c r="N41" s="110">
        <f>('Thurs (2)'!N41+Thurs!N41+'Tues '!N41+Wed!N41+Fri!N41+'Mon '!N41+'Wed (2)'!N41+Sun!N41+Sat!N41)</f>
        <v>0</v>
      </c>
      <c r="O41" s="110">
        <f>('Thurs (2)'!O41+Thurs!O41+'Tues '!O41+Wed!O41+Fri!O41+'Mon '!O41+'Wed (2)'!O41+Sun!O41+Sat!O41)</f>
        <v>0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0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1007</v>
      </c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>
        <f>('Thurs (2)'!G42+Thurs!G42+'Tues '!G42+Wed!G42+Fri!G42+'Mon '!G42+'Wed (2)'!G42+Sun!G42+Sat!G42)</f>
        <v>0</v>
      </c>
      <c r="H42" s="110">
        <f>('Thurs (2)'!H42+Thurs!H42+'Tues '!H42+Wed!H42+Fri!H42+'Mon '!H42+'Wed (2)'!H42+Sun!H42+Sat!H42)</f>
        <v>0</v>
      </c>
      <c r="I42" s="110">
        <f>('Thurs (2)'!I42+Thurs!I42+'Tues '!I42+Wed!I42+Fri!I42+'Mon '!I42+'Wed (2)'!I42+Sun!I42+Sat!I42)</f>
        <v>0</v>
      </c>
      <c r="J42" s="110">
        <f>('Thurs (2)'!J42+Thurs!J42+'Tues '!J42+Wed!J42+Fri!J42+'Mon '!J42+'Wed (2)'!J42+Sun!J42+Sat!J42)</f>
        <v>0</v>
      </c>
      <c r="K42" s="110">
        <f>('Thurs (2)'!K42+Thurs!K42+'Tues '!K42+Wed!K42+Fri!K42+'Mon '!K42+'Wed (2)'!K42+Sun!K42+Sat!K42)</f>
        <v>0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0</v>
      </c>
      <c r="N42" s="110">
        <f>('Thurs (2)'!N42+Thurs!N42+'Tues '!N42+Wed!N42+Fri!N42+'Mon '!N42+'Wed (2)'!N42+Sun!N42+Sat!N42)</f>
        <v>0</v>
      </c>
      <c r="O42" s="110">
        <f>('Thurs (2)'!O42+Thurs!O42+'Tues '!O42+Wed!O42+Fri!O42+'Mon '!O42+'Wed (2)'!O42+Sun!O42+Sat!O42)</f>
        <v>0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0</v>
      </c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>
        <f>('Thurs (2)'!G43+Thurs!G43+'Tues '!G43+Wed!G43+Fri!G43+'Mon '!G43+'Wed (2)'!G43+Sun!G43+Sat!G43)</f>
        <v>14</v>
      </c>
      <c r="H43" s="110">
        <f>('Thurs (2)'!H43+Thurs!H43+'Tues '!H43+Wed!H43+Fri!H43+'Mon '!H43+'Wed (2)'!H43+Sun!H43+Sat!H43)</f>
        <v>5</v>
      </c>
      <c r="I43" s="110">
        <f>('Thurs (2)'!I43+Thurs!I43+'Tues '!I43+Wed!I43+Fri!I43+'Mon '!I43+'Wed (2)'!I43+Sun!I43+Sat!I43)</f>
        <v>4</v>
      </c>
      <c r="J43" s="110">
        <f>('Thurs (2)'!J43+Thurs!J43+'Tues '!J43+Wed!J43+Fri!J43+'Mon '!J43+'Wed (2)'!J43+Sun!J43+Sat!J43)</f>
        <v>3</v>
      </c>
      <c r="K43" s="110">
        <f>('Thurs (2)'!K43+Thurs!K43+'Tues '!K43+Wed!K43+Fri!K43+'Mon '!K43+'Wed (2)'!K43+Sun!K43+Sat!K43)</f>
        <v>2</v>
      </c>
      <c r="L43" s="110">
        <f>('Thurs (2)'!L43+Thurs!L43+'Tues '!L43+Wed!L43+Fri!L43+'Mon '!L43+'Wed (2)'!L43+Sun!L43+Sat!L43)</f>
        <v>0</v>
      </c>
      <c r="M43" s="110">
        <f>('Thurs (2)'!M43+Thurs!M43+'Tues '!M43+Wed!M43+Fri!M43+'Mon '!M43+'Wed (2)'!M43+Sun!M43+Sat!M43)</f>
        <v>12</v>
      </c>
      <c r="N43" s="110">
        <f>('Thurs (2)'!N43+Thurs!N43+'Tues '!N43+Wed!N43+Fri!N43+'Mon '!N43+'Wed (2)'!N43+Sun!N43+Sat!N43)</f>
        <v>4</v>
      </c>
      <c r="O43" s="110">
        <f>('Thurs (2)'!O43+Thurs!O43+'Tues '!O43+Wed!O43+Fri!O43+'Mon '!O43+'Wed (2)'!O43+Sun!O43+Sat!O43)</f>
        <v>4</v>
      </c>
      <c r="P43" s="110">
        <f>('Thurs (2)'!P43+Thurs!P43+'Tues '!P43+Wed!P43+Fri!P43+'Mon '!P43+'Wed (2)'!P43+Sun!P43+Sat!P43)</f>
        <v>0</v>
      </c>
      <c r="Q43" s="110">
        <f>('Thurs (2)'!Q43+Thurs!Q43+'Tues '!Q43+Wed!Q43+Fri!Q43+'Mon '!Q43+'Wed (2)'!Q43+Sun!Q43+Sat!Q43)</f>
        <v>0</v>
      </c>
      <c r="R43" s="110">
        <f>('Thurs (2)'!R43+Thurs!R43+'Tues '!R43+Wed!R43+Fri!R43+'Mon '!R43+'Wed (2)'!R43+Sun!R43+Sat!R43)</f>
        <v>1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3942</v>
      </c>
      <c r="U43" s="130">
        <f t="shared" si="2"/>
        <v>0.8</v>
      </c>
      <c r="V43" s="130">
        <f t="shared" si="3"/>
        <v>0.3571428571</v>
      </c>
      <c r="W43" s="131"/>
    </row>
    <row r="44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>
        <f>('Thurs (2)'!G44+Thurs!G44+'Tues '!G44+Wed!G44+Fri!G44+'Mon '!G44+'Wed (2)'!G44+Sun!G44+Sat!G44)</f>
        <v>0</v>
      </c>
      <c r="H44" s="110">
        <f>('Thurs (2)'!H44+Thurs!H44+'Tues '!H44+Wed!H44+Fri!H44+'Mon '!H44+'Wed (2)'!H44+Sun!H44+Sat!H44)</f>
        <v>0</v>
      </c>
      <c r="I44" s="110">
        <f>('Thurs (2)'!I44+Thurs!I44+'Tues '!I44+Wed!I44+Fri!I44+'Mon '!I44+'Wed (2)'!I44+Sun!I44+Sat!I44)</f>
        <v>0</v>
      </c>
      <c r="J44" s="110">
        <f>('Thurs (2)'!J44+Thurs!J44+'Tues '!J44+Wed!J44+Fri!J44+'Mon '!J44+'Wed (2)'!J44+Sun!J44+Sat!J44)</f>
        <v>0</v>
      </c>
      <c r="K44" s="110">
        <f>('Thurs (2)'!K44+Thurs!K44+'Tues '!K44+Wed!K44+Fri!K44+'Mon '!K44+'Wed (2)'!K44+Sun!K44+Sat!K44)</f>
        <v>0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0</v>
      </c>
      <c r="N44" s="110">
        <f>('Thurs (2)'!N44+Thurs!N44+'Tues '!N44+Wed!N44+Fri!N44+'Mon '!N44+'Wed (2)'!N44+Sun!N44+Sat!N44)</f>
        <v>0</v>
      </c>
      <c r="O44" s="110">
        <f>('Thurs (2)'!O44+Thurs!O44+'Tues '!O44+Wed!O44+Fri!O44+'Mon '!O44+'Wed (2)'!O44+Sun!O44+Sat!O44)</f>
        <v>0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0</v>
      </c>
      <c r="S44" s="110">
        <f>('Thurs (2)'!S44+Thurs!S44+'Tues '!S44+Wed!S44+Fri!S44+'Mon '!S44+'Wed (2)'!S44+Sun!S44+Sat!S44)</f>
        <v>0</v>
      </c>
      <c r="T44" s="110">
        <f>('Thurs (2)'!T44+Thurs!T44+'Tues '!T44+Wed!T44+Fri!T44+'Mon '!T44+'Wed (2)'!T44+Sun!T44+Sat!T44)</f>
        <v>0</v>
      </c>
      <c r="U44" s="130">
        <f t="shared" si="2"/>
        <v>0</v>
      </c>
      <c r="V44" s="130">
        <f t="shared" si="3"/>
        <v>0</v>
      </c>
      <c r="W44" s="131"/>
    </row>
    <row r="45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>
        <f>('Thurs (2)'!G45+Thurs!G45+'Tues '!G45+Wed!G45+Fri!G45+'Mon '!G45+'Wed (2)'!G45+Sun!G45+Sat!G45)</f>
        <v>0</v>
      </c>
      <c r="H45" s="110">
        <f>('Thurs (2)'!H45+Thurs!H45+'Tues '!H45+Wed!H45+Fri!H45+'Mon '!H45+'Wed (2)'!H45+Sun!H45+Sat!H45)</f>
        <v>0</v>
      </c>
      <c r="I45" s="110">
        <f>('Thurs (2)'!I45+Thurs!I45+'Tues '!I45+Wed!I45+Fri!I45+'Mon '!I45+'Wed (2)'!I45+Sun!I45+Sat!I45)</f>
        <v>0</v>
      </c>
      <c r="J45" s="110">
        <f>('Thurs (2)'!J45+Thurs!J45+'Tues '!J45+Wed!J45+Fri!J45+'Mon '!J45+'Wed (2)'!J45+Sun!J45+Sat!J45)</f>
        <v>0</v>
      </c>
      <c r="K45" s="110">
        <f>('Thurs (2)'!K45+Thurs!K45+'Tues '!K45+Wed!K45+Fri!K45+'Mon '!K45+'Wed (2)'!K45+Sun!K45+Sat!K45)</f>
        <v>0</v>
      </c>
      <c r="L45" s="110">
        <f>('Thurs (2)'!L45+Thurs!L45+'Tues '!L45+Wed!L45+Fri!L45+'Mon '!L45+'Wed (2)'!L45+Sun!L45+Sat!L45)</f>
        <v>0</v>
      </c>
      <c r="M45" s="110">
        <f>('Thurs (2)'!M45+Thurs!M45+'Tues '!M45+Wed!M45+Fri!M45+'Mon '!M45+'Wed (2)'!M45+Sun!M45+Sat!M45)</f>
        <v>0</v>
      </c>
      <c r="N45" s="110">
        <f>('Thurs (2)'!N45+Thurs!N45+'Tues '!N45+Wed!N45+Fri!N45+'Mon '!N45+'Wed (2)'!N45+Sun!N45+Sat!N45)</f>
        <v>0</v>
      </c>
      <c r="O45" s="110">
        <f>('Thurs (2)'!O45+Thurs!O45+'Tues '!O45+Wed!O45+Fri!O45+'Mon '!O45+'Wed (2)'!O45+Sun!O45+Sat!O45)</f>
        <v>0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0</v>
      </c>
      <c r="S45" s="110">
        <f>('Thurs (2)'!S45+Thurs!S45+'Tues '!S45+Wed!S45+Fri!S45+'Mon '!S45+'Wed (2)'!S45+Sun!S45+Sat!S45)</f>
        <v>0</v>
      </c>
      <c r="T45" s="110">
        <f>('Thurs (2)'!T45+Thurs!T45+'Tues '!T45+Wed!T45+Fri!T45+'Mon '!T45+'Wed (2)'!T45+Sun!T45+Sat!T45)</f>
        <v>0</v>
      </c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>
        <f>('Thurs (2)'!G46+Thurs!G46+'Tues '!G46+Wed!G46+Fri!G46+'Mon '!G46+'Wed (2)'!G46+Sun!G46+Sat!G46)</f>
        <v>7</v>
      </c>
      <c r="H46" s="110">
        <f>('Thurs (2)'!H46+Thurs!H46+'Tues '!H46+Wed!H46+Fri!H46+'Mon '!H46+'Wed (2)'!H46+Sun!H46+Sat!H46)</f>
        <v>1</v>
      </c>
      <c r="I46" s="110">
        <f>('Thurs (2)'!I46+Thurs!I46+'Tues '!I46+Wed!I46+Fri!I46+'Mon '!I46+'Wed (2)'!I46+Sun!I46+Sat!I46)</f>
        <v>0</v>
      </c>
      <c r="J46" s="110">
        <f>('Thurs (2)'!J46+Thurs!J46+'Tues '!J46+Wed!J46+Fri!J46+'Mon '!J46+'Wed (2)'!J46+Sun!J46+Sat!J46)</f>
        <v>0</v>
      </c>
      <c r="K46" s="110">
        <f>('Thurs (2)'!K46+Thurs!K46+'Tues '!K46+Wed!K46+Fri!K46+'Mon '!K46+'Wed (2)'!K46+Sun!K46+Sat!K46)</f>
        <v>0</v>
      </c>
      <c r="L46" s="110">
        <f>('Thurs (2)'!L46+Thurs!L46+'Tues '!L46+Wed!L46+Fri!L46+'Mon '!L46+'Wed (2)'!L46+Sun!L46+Sat!L46)</f>
        <v>1</v>
      </c>
      <c r="M46" s="110">
        <f>('Thurs (2)'!M46+Thurs!M46+'Tues '!M46+Wed!M46+Fri!M46+'Mon '!M46+'Wed (2)'!M46+Sun!M46+Sat!M46)</f>
        <v>5</v>
      </c>
      <c r="N46" s="110">
        <f>('Thurs (2)'!N46+Thurs!N46+'Tues '!N46+Wed!N46+Fri!N46+'Mon '!N46+'Wed (2)'!N46+Sun!N46+Sat!N46)</f>
        <v>0</v>
      </c>
      <c r="O46" s="110">
        <f>('Thurs (2)'!O46+Thurs!O46+'Tues '!O46+Wed!O46+Fri!O46+'Mon '!O46+'Wed (2)'!O46+Sun!O46+Sat!O46)</f>
        <v>0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1</v>
      </c>
      <c r="S46" s="110">
        <f>('Thurs (2)'!S46+Thurs!S46+'Tues '!S46+Wed!S46+Fri!S46+'Mon '!S46+'Wed (2)'!S46+Sun!S46+Sat!S46)</f>
        <v>0</v>
      </c>
      <c r="T46" s="110">
        <f>('Thurs (2)'!T46+Thurs!T46+'Tues '!T46+Wed!T46+Fri!T46+'Mon '!T46+'Wed (2)'!T46+Sun!T46+Sat!T46)</f>
        <v>0</v>
      </c>
      <c r="U46" s="130">
        <f t="shared" si="2"/>
        <v>0</v>
      </c>
      <c r="V46" s="130">
        <f t="shared" si="3"/>
        <v>0.2857142857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>
        <f>('Thurs (2)'!G47+Thurs!G47+'Tues '!G47+Wed!G47+Fri!G47+'Mon '!G47+'Wed (2)'!G47+Sun!G47+Sat!G47)</f>
        <v>5</v>
      </c>
      <c r="H47" s="110">
        <f>('Thurs (2)'!H47+Thurs!H47+'Tues '!H47+Wed!H47+Fri!H47+'Mon '!H47+'Wed (2)'!H47+Sun!H47+Sat!H47)</f>
        <v>3</v>
      </c>
      <c r="I47" s="110">
        <f>('Thurs (2)'!I47+Thurs!I47+'Tues '!I47+Wed!I47+Fri!I47+'Mon '!I47+'Wed (2)'!I47+Sun!I47+Sat!I47)</f>
        <v>0</v>
      </c>
      <c r="J47" s="110">
        <f>('Thurs (2)'!J47+Thurs!J47+'Tues '!J47+Wed!J47+Fri!J47+'Mon '!J47+'Wed (2)'!J47+Sun!J47+Sat!J47)</f>
        <v>1</v>
      </c>
      <c r="K47" s="110">
        <f>('Thurs (2)'!K47+Thurs!K47+'Tues '!K47+Wed!K47+Fri!K47+'Mon '!K47+'Wed (2)'!K47+Sun!K47+Sat!K47)</f>
        <v>0</v>
      </c>
      <c r="L47" s="110">
        <f>('Thurs (2)'!L47+Thurs!L47+'Tues '!L47+Wed!L47+Fri!L47+'Mon '!L47+'Wed (2)'!L47+Sun!L47+Sat!L47)</f>
        <v>1</v>
      </c>
      <c r="M47" s="110">
        <f>('Thurs (2)'!M47+Thurs!M47+'Tues '!M47+Wed!M47+Fri!M47+'Mon '!M47+'Wed (2)'!M47+Sun!M47+Sat!M47)</f>
        <v>14</v>
      </c>
      <c r="N47" s="110">
        <f>('Thurs (2)'!N47+Thurs!N47+'Tues '!N47+Wed!N47+Fri!N47+'Mon '!N47+'Wed (2)'!N47+Sun!N47+Sat!N47)</f>
        <v>2</v>
      </c>
      <c r="O47" s="110">
        <f>('Thurs (2)'!O47+Thurs!O47+'Tues '!O47+Wed!O47+Fri!O47+'Mon '!O47+'Wed (2)'!O47+Sun!O47+Sat!O47)</f>
        <v>0</v>
      </c>
      <c r="P47" s="110">
        <f>('Thurs (2)'!P47+Thurs!P47+'Tues '!P47+Wed!P47+Fri!P47+'Mon '!P47+'Wed (2)'!P47+Sun!P47+Sat!P47)</f>
        <v>0</v>
      </c>
      <c r="Q47" s="110">
        <f>('Thurs (2)'!Q47+Thurs!Q47+'Tues '!Q47+Wed!Q47+Fri!Q47+'Mon '!Q47+'Wed (2)'!Q47+Sun!Q47+Sat!Q47)</f>
        <v>0</v>
      </c>
      <c r="R47" s="110">
        <f>('Thurs (2)'!R47+Thurs!R47+'Tues '!R47+Wed!R47+Fri!R47+'Mon '!R47+'Wed (2)'!R47+Sun!R47+Sat!R47)</f>
        <v>1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0</v>
      </c>
      <c r="U47" s="130">
        <f t="shared" si="2"/>
        <v>0</v>
      </c>
      <c r="V47" s="130">
        <f t="shared" si="3"/>
        <v>0.8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>
        <f>('Thurs (2)'!G48+Thurs!G48+'Tues '!G48+Wed!G48+Fri!G48+'Mon '!G48+'Wed (2)'!G48+Sun!G48+Sat!G48)</f>
        <v>0</v>
      </c>
      <c r="H48" s="110">
        <f>('Thurs (2)'!H48+Thurs!H48+'Tues '!H48+Wed!H48+Fri!H48+'Mon '!H48+'Wed (2)'!H48+Sun!H48+Sat!H48)</f>
        <v>0</v>
      </c>
      <c r="I48" s="110">
        <f>('Thurs (2)'!I48+Thurs!I48+'Tues '!I48+Wed!I48+Fri!I48+'Mon '!I48+'Wed (2)'!I48+Sun!I48+Sat!I48)</f>
        <v>0</v>
      </c>
      <c r="J48" s="110">
        <f>('Thurs (2)'!J48+Thurs!J48+'Tues '!J48+Wed!J48+Fri!J48+'Mon '!J48+'Wed (2)'!J48+Sun!J48+Sat!J48)</f>
        <v>0</v>
      </c>
      <c r="K48" s="110">
        <f>('Thurs (2)'!K48+Thurs!K48+'Tues '!K48+Wed!K48+Fri!K48+'Mon '!K48+'Wed (2)'!K48+Sun!K48+Sat!K48)</f>
        <v>0</v>
      </c>
      <c r="L48" s="110">
        <f>('Thurs (2)'!L48+Thurs!L48+'Tues '!L48+Wed!L48+Fri!L48+'Mon '!L48+'Wed (2)'!L48+Sun!L48+Sat!L48)</f>
        <v>0</v>
      </c>
      <c r="M48" s="110">
        <f>('Thurs (2)'!M48+Thurs!M48+'Tues '!M48+Wed!M48+Fri!M48+'Mon '!M48+'Wed (2)'!M48+Sun!M48+Sat!M48)</f>
        <v>0</v>
      </c>
      <c r="N48" s="110">
        <f>('Thurs (2)'!N48+Thurs!N48+'Tues '!N48+Wed!N48+Fri!N48+'Mon '!N48+'Wed (2)'!N48+Sun!N48+Sat!N48)</f>
        <v>0</v>
      </c>
      <c r="O48" s="110">
        <f>('Thurs (2)'!O48+Thurs!O48+'Tues '!O48+Wed!O48+Fri!O48+'Mon '!O48+'Wed (2)'!O48+Sun!O48+Sat!O48)</f>
        <v>0</v>
      </c>
      <c r="P48" s="110">
        <f>('Thurs (2)'!P48+Thurs!P48+'Tues '!P48+Wed!P48+Fri!P48+'Mon '!P48+'Wed (2)'!P48+Sun!P48+Sat!P48)</f>
        <v>0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0</v>
      </c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>
        <f>('Thurs (2)'!G49+Thurs!G49+'Tues '!G49+Wed!G49+Fri!G49+'Mon '!G49+'Wed (2)'!G49+Sun!G49+Sat!G49)</f>
        <v>69</v>
      </c>
      <c r="H49" s="110">
        <f>('Thurs (2)'!H49+Thurs!H49+'Tues '!H49+Wed!H49+Fri!H49+'Mon '!H49+'Wed (2)'!H49+Sun!H49+Sat!H49)</f>
        <v>19</v>
      </c>
      <c r="I49" s="110">
        <f>('Thurs (2)'!I49+Thurs!I49+'Tues '!I49+Wed!I49+Fri!I49+'Mon '!I49+'Wed (2)'!I49+Sun!I49+Sat!I49)</f>
        <v>13</v>
      </c>
      <c r="J49" s="110">
        <f>('Thurs (2)'!J49+Thurs!J49+'Tues '!J49+Wed!J49+Fri!J49+'Mon '!J49+'Wed (2)'!J49+Sun!J49+Sat!J49)</f>
        <v>8</v>
      </c>
      <c r="K49" s="110">
        <f>('Thurs (2)'!K49+Thurs!K49+'Tues '!K49+Wed!K49+Fri!K49+'Mon '!K49+'Wed (2)'!K49+Sun!K49+Sat!K49)</f>
        <v>8</v>
      </c>
      <c r="L49" s="110">
        <f>('Thurs (2)'!L49+Thurs!L49+'Tues '!L49+Wed!L49+Fri!L49+'Mon '!L49+'Wed (2)'!L49+Sun!L49+Sat!L49)</f>
        <v>2</v>
      </c>
      <c r="M49" s="110">
        <f>('Thurs (2)'!M49+Thurs!M49+'Tues '!M49+Wed!M49+Fri!M49+'Mon '!M49+'Wed (2)'!M49+Sun!M49+Sat!M49)</f>
        <v>14</v>
      </c>
      <c r="N49" s="110">
        <f>('Thurs (2)'!N49+Thurs!N49+'Tues '!N49+Wed!N49+Fri!N49+'Mon '!N49+'Wed (2)'!N49+Sun!N49+Sat!N49)</f>
        <v>15</v>
      </c>
      <c r="O49" s="110">
        <f>('Thurs (2)'!O49+Thurs!O49+'Tues '!O49+Wed!O49+Fri!O49+'Mon '!O49+'Wed (2)'!O49+Sun!O49+Sat!O49)</f>
        <v>11</v>
      </c>
      <c r="P49" s="110">
        <f>('Thurs (2)'!P49+Thurs!P49+'Tues '!P49+Wed!P49+Fri!P49+'Mon '!P49+'Wed (2)'!P49+Sun!P49+Sat!P49)</f>
        <v>5</v>
      </c>
      <c r="Q49" s="110">
        <f>('Thurs (2)'!Q49+Thurs!Q49+'Tues '!Q49+Wed!Q49+Fri!Q49+'Mon '!Q49+'Wed (2)'!Q49+Sun!Q49+Sat!Q49)</f>
        <v>2</v>
      </c>
      <c r="R49" s="110">
        <f>('Thurs (2)'!R49+Thurs!R49+'Tues '!R49+Wed!R49+Fri!R49+'Mon '!R49+'Wed (2)'!R49+Sun!R49+Sat!R49)</f>
        <v>0</v>
      </c>
      <c r="S49" s="110">
        <f>('Thurs (2)'!S49+Thurs!S49+'Tues '!S49+Wed!S49+Fri!S49+'Mon '!S49+'Wed (2)'!S49+Sun!S49+Sat!S49)</f>
        <v>0</v>
      </c>
      <c r="T49" s="110">
        <f>('Thurs (2)'!T49+Thurs!T49+'Tues '!T49+Wed!T49+Fri!T49+'Mon '!T49+'Wed (2)'!T49+Sun!T49+Sat!T49)</f>
        <v>18252</v>
      </c>
      <c r="U49" s="130">
        <f t="shared" si="2"/>
        <v>0.6842105263</v>
      </c>
      <c r="V49" s="130">
        <f t="shared" si="3"/>
        <v>0.3043478261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>
        <f>('Thurs (2)'!G50+Thurs!G50+'Tues '!G50+Wed!G50+Fri!G50+'Mon '!G50+'Wed (2)'!G50+Sun!G50+Sat!G50)</f>
        <v>24</v>
      </c>
      <c r="H50" s="110">
        <f>('Thurs (2)'!H50+Thurs!H50+'Tues '!H50+Wed!H50+Fri!H50+'Mon '!H50+'Wed (2)'!H50+Sun!H50+Sat!H50)</f>
        <v>16</v>
      </c>
      <c r="I50" s="110">
        <f>('Thurs (2)'!I50+Thurs!I50+'Tues '!I50+Wed!I50+Fri!I50+'Mon '!I50+'Wed (2)'!I50+Sun!I50+Sat!I50)</f>
        <v>8</v>
      </c>
      <c r="J50" s="110">
        <f>('Thurs (2)'!J50+Thurs!J50+'Tues '!J50+Wed!J50+Fri!J50+'Mon '!J50+'Wed (2)'!J50+Sun!J50+Sat!J50)</f>
        <v>6</v>
      </c>
      <c r="K50" s="110">
        <f>('Thurs (2)'!K50+Thurs!K50+'Tues '!K50+Wed!K50+Fri!K50+'Mon '!K50+'Wed (2)'!K50+Sun!K50+Sat!K50)</f>
        <v>1</v>
      </c>
      <c r="L50" s="110">
        <f>('Thurs (2)'!L50+Thurs!L50+'Tues '!L50+Wed!L50+Fri!L50+'Mon '!L50+'Wed (2)'!L50+Sun!L50+Sat!L50)</f>
        <v>0</v>
      </c>
      <c r="M50" s="110">
        <f>('Thurs (2)'!M50+Thurs!M50+'Tues '!M50+Wed!M50+Fri!M50+'Mon '!M50+'Wed (2)'!M50+Sun!M50+Sat!M50)</f>
        <v>30</v>
      </c>
      <c r="N50" s="110">
        <f>('Thurs (2)'!N50+Thurs!N50+'Tues '!N50+Wed!N50+Fri!N50+'Mon '!N50+'Wed (2)'!N50+Sun!N50+Sat!N50)</f>
        <v>7</v>
      </c>
      <c r="O50" s="110">
        <f>('Thurs (2)'!O50+Thurs!O50+'Tues '!O50+Wed!O50+Fri!O50+'Mon '!O50+'Wed (2)'!O50+Sun!O50+Sat!O50)</f>
        <v>3</v>
      </c>
      <c r="P50" s="110">
        <f>('Thurs (2)'!P50+Thurs!P50+'Tues '!P50+Wed!P50+Fri!P50+'Mon '!P50+'Wed (2)'!P50+Sun!P50+Sat!P50)</f>
        <v>8</v>
      </c>
      <c r="Q50" s="110">
        <f>('Thurs (2)'!Q50+Thurs!Q50+'Tues '!Q50+Wed!Q50+Fri!Q50+'Mon '!Q50+'Wed (2)'!Q50+Sun!Q50+Sat!Q50)</f>
        <v>7</v>
      </c>
      <c r="R50" s="110">
        <f>('Thurs (2)'!R50+Thurs!R50+'Tues '!R50+Wed!R50+Fri!R50+'Mon '!R50+'Wed (2)'!R50+Sun!R50+Sat!R50)</f>
        <v>0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12410</v>
      </c>
      <c r="U50" s="130">
        <f t="shared" si="2"/>
        <v>0.5</v>
      </c>
      <c r="V50" s="130">
        <f t="shared" si="3"/>
        <v>0.6666666667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>
        <f>('Thurs (2)'!G51+Thurs!G51+'Tues '!G51+Wed!G51+Fri!G51+'Mon '!G51+'Wed (2)'!G51+Sun!G51+Sat!G51)</f>
        <v>11</v>
      </c>
      <c r="H51" s="110">
        <f>('Thurs (2)'!H51+Thurs!H51+'Tues '!H51+Wed!H51+Fri!H51+'Mon '!H51+'Wed (2)'!H51+Sun!H51+Sat!H51)</f>
        <v>9</v>
      </c>
      <c r="I51" s="110">
        <f>('Thurs (2)'!I51+Thurs!I51+'Tues '!I51+Wed!I51+Fri!I51+'Mon '!I51+'Wed (2)'!I51+Sun!I51+Sat!I51)</f>
        <v>3</v>
      </c>
      <c r="J51" s="110">
        <f>('Thurs (2)'!J51+Thurs!J51+'Tues '!J51+Wed!J51+Fri!J51+'Mon '!J51+'Wed (2)'!J51+Sun!J51+Sat!J51)</f>
        <v>9</v>
      </c>
      <c r="K51" s="110">
        <f>('Thurs (2)'!K51+Thurs!K51+'Tues '!K51+Wed!K51+Fri!K51+'Mon '!K51+'Wed (2)'!K51+Sun!K51+Sat!K51)</f>
        <v>3</v>
      </c>
      <c r="L51" s="110">
        <f>('Thurs (2)'!L51+Thurs!L51+'Tues '!L51+Wed!L51+Fri!L51+'Mon '!L51+'Wed (2)'!L51+Sun!L51+Sat!L51)</f>
        <v>3</v>
      </c>
      <c r="M51" s="110">
        <f>('Thurs (2)'!M51+Thurs!M51+'Tues '!M51+Wed!M51+Fri!M51+'Mon '!M51+'Wed (2)'!M51+Sun!M51+Sat!M51)</f>
        <v>16</v>
      </c>
      <c r="N51" s="110">
        <f>('Thurs (2)'!N51+Thurs!N51+'Tues '!N51+Wed!N51+Fri!N51+'Mon '!N51+'Wed (2)'!N51+Sun!N51+Sat!N51)</f>
        <v>5</v>
      </c>
      <c r="O51" s="110">
        <f>('Thurs (2)'!O51+Thurs!O51+'Tues '!O51+Wed!O51+Fri!O51+'Mon '!O51+'Wed (2)'!O51+Sun!O51+Sat!O51)</f>
        <v>1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4</v>
      </c>
      <c r="S51" s="110">
        <f>('Thurs (2)'!S51+Thurs!S51+'Tues '!S51+Wed!S51+Fri!S51+'Mon '!S51+'Wed (2)'!S51+Sun!S51+Sat!S51)</f>
        <v>2</v>
      </c>
      <c r="T51" s="110">
        <f>('Thurs (2)'!T51+Thurs!T51+'Tues '!T51+Wed!T51+Fri!T51+'Mon '!T51+'Wed (2)'!T51+Sun!T51+Sat!T51)</f>
        <v>4312</v>
      </c>
      <c r="U51" s="130">
        <f t="shared" si="2"/>
        <v>0.3333333333</v>
      </c>
      <c r="V51" s="130">
        <f t="shared" si="3"/>
        <v>1.090909091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>
        <f>('Thurs (2)'!G52+Thurs!G52+'Tues '!G52+Wed!G52+Fri!G52+'Mon '!G52+'Wed (2)'!G52+Sun!G52+Sat!G52)</f>
        <v>0</v>
      </c>
      <c r="H52" s="110">
        <f>('Thurs (2)'!H52+Thurs!H52+'Tues '!H52+Wed!H52+Fri!H52+'Mon '!H52+'Wed (2)'!H52+Sun!H52+Sat!H52)</f>
        <v>0</v>
      </c>
      <c r="I52" s="110">
        <f>('Thurs (2)'!I52+Thurs!I52+'Tues '!I52+Wed!I52+Fri!I52+'Mon '!I52+'Wed (2)'!I52+Sun!I52+Sat!I52)</f>
        <v>0</v>
      </c>
      <c r="J52" s="110">
        <f>('Thurs (2)'!J52+Thurs!J52+'Tues '!J52+Wed!J52+Fri!J52+'Mon '!J52+'Wed (2)'!J52+Sun!J52+Sat!J52)</f>
        <v>0</v>
      </c>
      <c r="K52" s="110">
        <f>('Thurs (2)'!K52+Thurs!K52+'Tues '!K52+Wed!K52+Fri!K52+'Mon '!K52+'Wed (2)'!K52+Sun!K52+Sat!K52)</f>
        <v>0</v>
      </c>
      <c r="L52" s="110">
        <f>('Thurs (2)'!L52+Thurs!L52+'Tues '!L52+Wed!L52+Fri!L52+'Mon '!L52+'Wed (2)'!L52+Sun!L52+Sat!L52)</f>
        <v>0</v>
      </c>
      <c r="M52" s="110">
        <f>('Thurs (2)'!M52+Thurs!M52+'Tues '!M52+Wed!M52+Fri!M52+'Mon '!M52+'Wed (2)'!M52+Sun!M52+Sat!M52)</f>
        <v>0</v>
      </c>
      <c r="N52" s="110">
        <f>('Thurs (2)'!N52+Thurs!N52+'Tues '!N52+Wed!N52+Fri!N52+'Mon '!N52+'Wed (2)'!N52+Sun!N52+Sat!N52)</f>
        <v>0</v>
      </c>
      <c r="O52" s="110">
        <f>('Thurs (2)'!O52+Thurs!O52+'Tues '!O52+Wed!O52+Fri!O52+'Mon '!O52+'Wed (2)'!O52+Sun!O52+Sat!O52)</f>
        <v>0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0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0</v>
      </c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>
        <f>('Thurs (2)'!G53+Thurs!G53+'Tues '!G53+Wed!G53+Fri!G53+'Mon '!G53+'Wed (2)'!G53+Sun!G53+Sat!G53)</f>
        <v>0</v>
      </c>
      <c r="H53" s="110">
        <f>('Thurs (2)'!H53+Thurs!H53+'Tues '!H53+Wed!H53+Fri!H53+'Mon '!H53+'Wed (2)'!H53+Sun!H53+Sat!H53)</f>
        <v>0</v>
      </c>
      <c r="I53" s="110">
        <f>('Thurs (2)'!I53+Thurs!I53+'Tues '!I53+Wed!I53+Fri!I53+'Mon '!I53+'Wed (2)'!I53+Sun!I53+Sat!I53)</f>
        <v>0</v>
      </c>
      <c r="J53" s="110">
        <f>('Thurs (2)'!J53+Thurs!J53+'Tues '!J53+Wed!J53+Fri!J53+'Mon '!J53+'Wed (2)'!J53+Sun!J53+Sat!J53)</f>
        <v>0</v>
      </c>
      <c r="K53" s="110">
        <f>('Thurs (2)'!K53+Thurs!K53+'Tues '!K53+Wed!K53+Fri!K53+'Mon '!K53+'Wed (2)'!K53+Sun!K53+Sat!K53)</f>
        <v>0</v>
      </c>
      <c r="L53" s="110">
        <f>('Thurs (2)'!L53+Thurs!L53+'Tues '!L53+Wed!L53+Fri!L53+'Mon '!L53+'Wed (2)'!L53+Sun!L53+Sat!L53)</f>
        <v>0</v>
      </c>
      <c r="M53" s="110">
        <f>('Thurs (2)'!M53+Thurs!M53+'Tues '!M53+Wed!M53+Fri!M53+'Mon '!M53+'Wed (2)'!M53+Sun!M53+Sat!M53)</f>
        <v>0</v>
      </c>
      <c r="N53" s="110">
        <f>('Thurs (2)'!N53+Thurs!N53+'Tues '!N53+Wed!N53+Fri!N53+'Mon '!N53+'Wed (2)'!N53+Sun!N53+Sat!N53)</f>
        <v>0</v>
      </c>
      <c r="O53" s="110">
        <f>('Thurs (2)'!O53+Thurs!O53+'Tues '!O53+Wed!O53+Fri!O53+'Mon '!O53+'Wed (2)'!O53+Sun!O53+Sat!O53)</f>
        <v>0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0</v>
      </c>
      <c r="S53" s="110">
        <f>('Thurs (2)'!S53+Thurs!S53+'Tues '!S53+Wed!S53+Fri!S53+'Mon '!S53+'Wed (2)'!S53+Sun!S53+Sat!S53)</f>
        <v>0</v>
      </c>
      <c r="T53" s="110">
        <f>('Thurs (2)'!T53+Thurs!T53+'Tues '!T53+Wed!T53+Fri!T53+'Mon '!T53+'Wed (2)'!T53+Sun!T53+Sat!T53)</f>
        <v>0</v>
      </c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>
        <f>('Thurs (2)'!G54+Thurs!G54+'Tues '!G54+Wed!G54+Fri!G54+'Mon '!G54+'Wed (2)'!G54+Sun!G54+Sat!G54)</f>
        <v>2</v>
      </c>
      <c r="H54" s="110">
        <f>('Thurs (2)'!H54+Thurs!H54+'Tues '!H54+Wed!H54+Fri!H54+'Mon '!H54+'Wed (2)'!H54+Sun!H54+Sat!H54)</f>
        <v>1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1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1</v>
      </c>
      <c r="M54" s="110">
        <f>('Thurs (2)'!M54+Thurs!M54+'Tues '!M54+Wed!M54+Fri!M54+'Mon '!M54+'Wed (2)'!M54+Sun!M54+Sat!M54)</f>
        <v>3</v>
      </c>
      <c r="N54" s="110">
        <f>('Thurs (2)'!N54+Thurs!N54+'Tues '!N54+Wed!N54+Fri!N54+'Mon '!N54+'Wed (2)'!N54+Sun!N54+Sat!N54)</f>
        <v>1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0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30">
        <f t="shared" si="2"/>
        <v>0</v>
      </c>
      <c r="V54" s="130">
        <f t="shared" si="3"/>
        <v>1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>
        <f>('Thurs (2)'!G55+Thurs!G55+'Tues '!G55+Wed!G55+Fri!G55+'Mon '!G55+'Wed (2)'!G55+Sun!G55+Sat!G55)</f>
        <v>0</v>
      </c>
      <c r="H55" s="110">
        <f>('Thurs (2)'!H55+Thurs!H55+'Tues '!H55+Wed!H55+Fri!H55+'Mon '!H55+'Wed (2)'!H55+Sun!H55+Sat!H55)</f>
        <v>0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0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0</v>
      </c>
      <c r="M55" s="110">
        <f>('Thurs (2)'!M55+Thurs!M55+'Tues '!M55+Wed!M55+Fri!M55+'Mon '!M55+'Wed (2)'!M55+Sun!M55+Sat!M55)</f>
        <v>0</v>
      </c>
      <c r="N55" s="110">
        <f>('Thurs (2)'!N55+Thurs!N55+'Tues '!N55+Wed!N55+Fri!N55+'Mon '!N55+'Wed (2)'!N55+Sun!N55+Sat!N55)</f>
        <v>0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>
        <f>('Thurs (2)'!G56+Thurs!G56+'Tues '!G56+Wed!G56+Fri!G56+'Mon '!G56+'Wed (2)'!G56+Sun!G56+Sat!G56)</f>
        <v>0</v>
      </c>
      <c r="H56" s="110">
        <f>('Thurs (2)'!H56+Thurs!H56+'Tues '!H56+Wed!H56+Fri!H56+'Mon '!H56+'Wed (2)'!H56+Sun!H56+Sat!H56)</f>
        <v>0</v>
      </c>
      <c r="I56" s="110">
        <f>('Thurs (2)'!I56+Thurs!I56+'Tues '!I56+Wed!I56+Fri!I56+'Mon '!I56+'Wed (2)'!I56+Sun!I56+Sat!I56)</f>
        <v>0</v>
      </c>
      <c r="J56" s="110">
        <f>('Thurs (2)'!J56+Thurs!J56+'Tues '!J56+Wed!J56+Fri!J56+'Mon '!J56+'Wed (2)'!J56+Sun!J56+Sat!J56)</f>
        <v>0</v>
      </c>
      <c r="K56" s="110">
        <f>('Thurs (2)'!K56+Thurs!K56+'Tues '!K56+Wed!K56+Fri!K56+'Mon '!K56+'Wed (2)'!K56+Sun!K56+Sat!K56)</f>
        <v>0</v>
      </c>
      <c r="L56" s="110">
        <f>('Thurs (2)'!L56+Thurs!L56+'Tues '!L56+Wed!L56+Fri!L56+'Mon '!L56+'Wed (2)'!L56+Sun!L56+Sat!L56)</f>
        <v>0</v>
      </c>
      <c r="M56" s="110">
        <f>('Thurs (2)'!M56+Thurs!M56+'Tues '!M56+Wed!M56+Fri!M56+'Mon '!M56+'Wed (2)'!M56+Sun!M56+Sat!M56)</f>
        <v>0</v>
      </c>
      <c r="N56" s="110">
        <f>('Thurs (2)'!N56+Thurs!N56+'Tues '!N56+Wed!N56+Fri!N56+'Mon '!N56+'Wed (2)'!N56+Sun!N56+Sat!N56)</f>
        <v>0</v>
      </c>
      <c r="O56" s="110">
        <f>('Thurs (2)'!O56+Thurs!O56+'Tues '!O56+Wed!O56+Fri!O56+'Mon '!O56+'Wed (2)'!O56+Sun!O56+Sat!O56)</f>
        <v>0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0</v>
      </c>
      <c r="S56" s="110">
        <f>('Thurs (2)'!S56+Thurs!S56+'Tues '!S56+Wed!S56+Fri!S56+'Mon '!S56+'Wed (2)'!S56+Sun!S56+Sat!S56)</f>
        <v>0</v>
      </c>
      <c r="T56" s="110">
        <f>('Thurs (2)'!T56+Thurs!T56+'Tues '!T56+Wed!T56+Fri!T56+'Mon '!T56+'Wed (2)'!T56+Sun!T56+Sat!T56)</f>
        <v>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>
        <f>('Thurs (2)'!G57+Thurs!G57+'Tues '!G57+Wed!G57+Fri!G57+'Mon '!G57+'Wed (2)'!G57+Sun!G57+Sat!G57)</f>
        <v>0</v>
      </c>
      <c r="H57" s="110">
        <f>('Thurs (2)'!H57+Thurs!H57+'Tues '!H57+Wed!H57+Fri!H57+'Mon '!H57+'Wed (2)'!H57+Sun!H57+Sat!H57)</f>
        <v>0</v>
      </c>
      <c r="I57" s="110">
        <f>('Thurs (2)'!I57+Thurs!I57+'Tues '!I57+Wed!I57+Fri!I57+'Mon '!I57+'Wed (2)'!I57+Sun!I57+Sat!I57)</f>
        <v>0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0</v>
      </c>
      <c r="N57" s="110">
        <f>('Thurs (2)'!N57+Thurs!N57+'Tues '!N57+Wed!N57+Fri!N57+'Mon '!N57+'Wed (2)'!N57+Sun!N57+Sat!N57)</f>
        <v>0</v>
      </c>
      <c r="O57" s="110">
        <f>('Thurs (2)'!O57+Thurs!O57+'Tues '!O57+Wed!O57+Fri!O57+'Mon '!O57+'Wed (2)'!O57+Sun!O57+Sat!O57)</f>
        <v>0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0</v>
      </c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>
        <f>('Thurs (2)'!G58+Thurs!G58+'Tues '!G58+Wed!G58+Fri!G58+'Mon '!G58+'Wed (2)'!G58+Sun!G58+Sat!G58)</f>
        <v>2</v>
      </c>
      <c r="H58" s="110">
        <f>('Thurs (2)'!H58+Thurs!H58+'Tues '!H58+Wed!H58+Fri!H58+'Mon '!H58+'Wed (2)'!H58+Sun!H58+Sat!H58)</f>
        <v>2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2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4</v>
      </c>
      <c r="N58" s="110">
        <f>('Thurs (2)'!N58+Thurs!N58+'Tues '!N58+Wed!N58+Fri!N58+'Mon '!N58+'Wed (2)'!N58+Sun!N58+Sat!N58)</f>
        <v>0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0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30">
        <f t="shared" si="2"/>
        <v>0</v>
      </c>
      <c r="V58" s="130">
        <f t="shared" si="3"/>
        <v>1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>
        <f>('Thurs (2)'!G59+Thurs!G59+'Tues '!G59+Wed!G59+Fri!G59+'Mon '!G59+'Wed (2)'!G59+Sun!G59+Sat!G59)</f>
        <v>0</v>
      </c>
      <c r="H59" s="110">
        <f>('Thurs (2)'!H59+Thurs!H59+'Tues '!H59+Wed!H59+Fri!H59+'Mon '!H59+'Wed (2)'!H59+Sun!H59+Sat!H59)</f>
        <v>0</v>
      </c>
      <c r="I59" s="110">
        <f>('Thurs (2)'!I59+Thurs!I59+'Tues '!I59+Wed!I59+Fri!I59+'Mon '!I59+'Wed (2)'!I59+Sun!I59+Sat!I59)</f>
        <v>0</v>
      </c>
      <c r="J59" s="110">
        <f>('Thurs (2)'!J59+Thurs!J59+'Tues '!J59+Wed!J59+Fri!J59+'Mon '!J59+'Wed (2)'!J59+Sun!J59+Sat!J59)</f>
        <v>0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0</v>
      </c>
      <c r="M59" s="110">
        <f>('Thurs (2)'!M59+Thurs!M59+'Tues '!M59+Wed!M59+Fri!M59+'Mon '!M59+'Wed (2)'!M59+Sun!M59+Sat!M59)</f>
        <v>0</v>
      </c>
      <c r="N59" s="110">
        <f>('Thurs (2)'!N59+Thurs!N59+'Tues '!N59+Wed!N59+Fri!N59+'Mon '!N59+'Wed (2)'!N59+Sun!N59+Sat!N59)</f>
        <v>0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0</v>
      </c>
      <c r="S59" s="110">
        <f>('Thurs (2)'!S59+Thurs!S59+'Tues '!S59+Wed!S59+Fri!S59+'Mon '!S59+'Wed (2)'!S59+Sun!S59+Sat!S59)</f>
        <v>0</v>
      </c>
      <c r="T59" s="110">
        <f>('Thurs (2)'!T59+Thurs!T59+'Tues '!T59+Wed!T59+Fri!T59+'Mon '!T59+'Wed (2)'!T59+Sun!T59+Sat!T59)</f>
        <v>0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>
        <f>('Thurs (2)'!G60+Thurs!G60+'Tues '!G60+Wed!G60+Fri!G60+'Mon '!G60+'Wed (2)'!G60+Sun!G60+Sat!G60)</f>
        <v>0</v>
      </c>
      <c r="H60" s="110">
        <f>('Thurs (2)'!H60+Thurs!H60+'Tues '!H60+Wed!H60+Fri!H60+'Mon '!H60+'Wed (2)'!H60+Sun!H60+Sat!H60)</f>
        <v>0</v>
      </c>
      <c r="I60" s="110">
        <f>('Thurs (2)'!I60+Thurs!I60+'Tues '!I60+Wed!I60+Fri!I60+'Mon '!I60+'Wed (2)'!I60+Sun!I60+Sat!I60)</f>
        <v>0</v>
      </c>
      <c r="J60" s="110">
        <f>('Thurs (2)'!J60+Thurs!J60+'Tues '!J60+Wed!J60+Fri!J60+'Mon '!J60+'Wed (2)'!J60+Sun!J60+Sat!J60)</f>
        <v>0</v>
      </c>
      <c r="K60" s="110">
        <f>('Thurs (2)'!K60+Thurs!K60+'Tues '!K60+Wed!K60+Fri!K60+'Mon '!K60+'Wed (2)'!K60+Sun!K60+Sat!K60)</f>
        <v>0</v>
      </c>
      <c r="L60" s="110">
        <f>('Thurs (2)'!L60+Thurs!L60+'Tues '!L60+Wed!L60+Fri!L60+'Mon '!L60+'Wed (2)'!L60+Sun!L60+Sat!L60)</f>
        <v>0</v>
      </c>
      <c r="M60" s="110">
        <f>('Thurs (2)'!M60+Thurs!M60+'Tues '!M60+Wed!M60+Fri!M60+'Mon '!M60+'Wed (2)'!M60+Sun!M60+Sat!M60)</f>
        <v>0</v>
      </c>
      <c r="N60" s="110">
        <f>('Thurs (2)'!N60+Thurs!N60+'Tues '!N60+Wed!N60+Fri!N60+'Mon '!N60+'Wed (2)'!N60+Sun!N60+Sat!N60)</f>
        <v>0</v>
      </c>
      <c r="O60" s="110">
        <f>('Thurs (2)'!O60+Thurs!O60+'Tues '!O60+Wed!O60+Fri!O60+'Mon '!O60+'Wed (2)'!O60+Sun!O60+Sat!O60)</f>
        <v>0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0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>
        <f>('Thurs (2)'!G61+Thurs!G61+'Tues '!G61+Wed!G61+Fri!G61+'Mon '!G61+'Wed (2)'!G61+Sun!G61+Sat!G61)</f>
        <v>2</v>
      </c>
      <c r="H61" s="110">
        <f>('Thurs (2)'!H61+Thurs!H61+'Tues '!H61+Wed!H61+Fri!H61+'Mon '!H61+'Wed (2)'!H61+Sun!H61+Sat!H61)</f>
        <v>1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0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1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1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30">
        <f t="shared" si="2"/>
        <v>0</v>
      </c>
      <c r="V61" s="130">
        <f t="shared" si="3"/>
        <v>1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>
        <f>('Thurs (2)'!G62+Thurs!G62+'Tues '!G62+Wed!G62+Fri!G62+'Mon '!G62+'Wed (2)'!G62+Sun!G62+Sat!G62)</f>
        <v>5</v>
      </c>
      <c r="H62" s="110">
        <f>('Thurs (2)'!H62+Thurs!H62+'Tues '!H62+Wed!H62+Fri!H62+'Mon '!H62+'Wed (2)'!H62+Sun!H62+Sat!H62)</f>
        <v>1</v>
      </c>
      <c r="I62" s="110">
        <f>('Thurs (2)'!I62+Thurs!I62+'Tues '!I62+Wed!I62+Fri!I62+'Mon '!I62+'Wed (2)'!I62+Sun!I62+Sat!I62)</f>
        <v>1</v>
      </c>
      <c r="J62" s="110">
        <f>('Thurs (2)'!J62+Thurs!J62+'Tues '!J62+Wed!J62+Fri!J62+'Mon '!J62+'Wed (2)'!J62+Sun!J62+Sat!J62)</f>
        <v>2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2</v>
      </c>
      <c r="M62" s="110">
        <f>('Thurs (2)'!M62+Thurs!M62+'Tues '!M62+Wed!M62+Fri!M62+'Mon '!M62+'Wed (2)'!M62+Sun!M62+Sat!M62)</f>
        <v>9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3</v>
      </c>
      <c r="S62" s="110">
        <f>('Thurs (2)'!S62+Thurs!S62+'Tues '!S62+Wed!S62+Fri!S62+'Mon '!S62+'Wed (2)'!S62+Sun!S62+Sat!S62)</f>
        <v>1</v>
      </c>
      <c r="T62" s="110">
        <f>('Thurs (2)'!T62+Thurs!T62+'Tues '!T62+Wed!T62+Fri!T62+'Mon '!T62+'Wed (2)'!T62+Sun!T62+Sat!T62)</f>
        <v>1132</v>
      </c>
      <c r="U62" s="111">
        <f t="shared" si="2"/>
        <v>1</v>
      </c>
      <c r="V62" s="111">
        <f t="shared" si="3"/>
        <v>0.6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f>('Thurs (2)'!G63+Thurs!G63+'Tues '!G63+Wed!G63+Fri!G63+'Mon '!G63+'Wed (2)'!G63+Sun!G63+Sat!G63)</f>
        <v>0</v>
      </c>
      <c r="H63" s="110">
        <f>('Thurs (2)'!H63+Thurs!H63+'Tues '!H63+Wed!H63+Fri!H63+'Mon '!H63+'Wed (2)'!H63+Sun!H63+Sat!H63)</f>
        <v>0</v>
      </c>
      <c r="I63" s="110">
        <f>('Thurs (2)'!I63+Thurs!I63+'Tues '!I63+Wed!I63+Fri!I63+'Mon '!I63+'Wed (2)'!I63+Sun!I63+Sat!I63)</f>
        <v>0</v>
      </c>
      <c r="J63" s="110">
        <f>('Thurs (2)'!J63+Thurs!J63+'Tues '!J63+Wed!J63+Fri!J63+'Mon '!J63+'Wed (2)'!J63+Sun!J63+Sat!J63)</f>
        <v>0</v>
      </c>
      <c r="K63" s="110">
        <f>('Thurs (2)'!K63+Thurs!K63+'Tues '!K63+Wed!K63+Fri!K63+'Mon '!K63+'Wed (2)'!K63+Sun!K63+Sat!K63)</f>
        <v>0</v>
      </c>
      <c r="L63" s="110">
        <f>('Thurs (2)'!L63+Thurs!L63+'Tues '!L63+Wed!L63+Fri!L63+'Mon '!L63+'Wed (2)'!L63+Sun!L63+Sat!L63)</f>
        <v>0</v>
      </c>
      <c r="M63" s="110">
        <f>('Thurs (2)'!M63+Thurs!M63+'Tues '!M63+Wed!M63+Fri!M63+'Mon '!M63+'Wed (2)'!M63+Sun!M63+Sat!M63)</f>
        <v>0</v>
      </c>
      <c r="N63" s="110">
        <f>('Thurs (2)'!N63+Thurs!N63+'Tues '!N63+Wed!N63+Fri!N63+'Mon '!N63+'Wed (2)'!N63+Sun!N63+Sat!N63)</f>
        <v>0</v>
      </c>
      <c r="O63" s="110">
        <f>('Thurs (2)'!O63+Thurs!O63+'Tues '!O63+Wed!O63+Fri!O63+'Mon '!O63+'Wed (2)'!O63+Sun!O63+Sat!O63)</f>
        <v>0</v>
      </c>
      <c r="P63" s="110">
        <f>('Thurs (2)'!P63+Thurs!P63+'Tues '!P63+Wed!P63+Fri!P63+'Mon '!P63+'Wed (2)'!P63+Sun!P63+Sat!P63)</f>
        <v>0</v>
      </c>
      <c r="Q63" s="110">
        <f>('Thurs (2)'!Q63+Thurs!Q63+'Tues '!Q63+Wed!Q63+Fri!Q63+'Mon '!Q63+'Wed (2)'!Q63+Sun!Q63+Sat!Q63)</f>
        <v>0</v>
      </c>
      <c r="R63" s="110">
        <f>('Thurs (2)'!R63+Thurs!R63+'Tues '!R63+Wed!R63+Fri!R63+'Mon '!R63+'Wed (2)'!R63+Sun!R63+Sat!R63)</f>
        <v>0</v>
      </c>
      <c r="S63" s="110">
        <f>('Thurs (2)'!S63+Thurs!S63+'Tues '!S63+Wed!S63+Fri!S63+'Mon '!S63+'Wed (2)'!S63+Sun!S63+Sat!S63)</f>
        <v>0</v>
      </c>
      <c r="T63" s="110">
        <f>('Thurs (2)'!T63+Thurs!T63+'Tues '!T63+Wed!T63+Fri!T63+'Mon '!T63+'Wed (2)'!T63+Sun!T63+Sat!T63)</f>
        <v>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f>('Thurs (2)'!G64+Thurs!G64+'Tues '!G64+Wed!G64+Fri!G64+'Mon '!G64+'Wed (2)'!G64+Sun!G64+Sat!G64)</f>
        <v>0</v>
      </c>
      <c r="H64" s="110">
        <f>('Thurs (2)'!H64+Thurs!H64+'Tues '!H64+Wed!H64+Fri!H64+'Mon '!H64+'Wed (2)'!H64+Sun!H64+Sat!H64)</f>
        <v>0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0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0</v>
      </c>
      <c r="M64" s="110">
        <f>('Thurs (2)'!M64+Thurs!M64+'Tues '!M64+Wed!M64+Fri!M64+'Mon '!M64+'Wed (2)'!M64+Sun!M64+Sat!M64)</f>
        <v>0</v>
      </c>
      <c r="N64" s="110">
        <f>('Thurs (2)'!N64+Thurs!N64+'Tues '!N64+Wed!N64+Fri!N64+'Mon '!N64+'Wed (2)'!N64+Sun!N64+Sat!N64)</f>
        <v>0</v>
      </c>
      <c r="O64" s="110">
        <f>('Thurs (2)'!O64+Thurs!O64+'Tues '!O64+Wed!O64+Fri!O64+'Mon '!O64+'Wed (2)'!O64+Sun!O64+Sat!O64)</f>
        <v>0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>
        <f>('Thurs (2)'!G65+Thurs!G65+'Tues '!G65+Wed!G65+Fri!G65+'Mon '!G65+'Wed (2)'!G65+Sun!G65+Sat!G65)</f>
        <v>4</v>
      </c>
      <c r="H65" s="110">
        <f>('Thurs (2)'!H65+Thurs!H65+'Tues '!H65+Wed!H65+Fri!H65+'Mon '!H65+'Wed (2)'!H65+Sun!H65+Sat!H65)</f>
        <v>2</v>
      </c>
      <c r="I65" s="110">
        <f>('Thurs (2)'!I65+Thurs!I65+'Tues '!I65+Wed!I65+Fri!I65+'Mon '!I65+'Wed (2)'!I65+Sun!I65+Sat!I65)</f>
        <v>0</v>
      </c>
      <c r="J65" s="110">
        <f>('Thurs (2)'!J65+Thurs!J65+'Tues '!J65+Wed!J65+Fri!J65+'Mon '!J65+'Wed (2)'!J65+Sun!J65+Sat!J65)</f>
        <v>3</v>
      </c>
      <c r="K65" s="110">
        <f>('Thurs (2)'!K65+Thurs!K65+'Tues '!K65+Wed!K65+Fri!K65+'Mon '!K65+'Wed (2)'!K65+Sun!K65+Sat!K65)</f>
        <v>0</v>
      </c>
      <c r="L65" s="110">
        <f>('Thurs (2)'!L65+Thurs!L65+'Tues '!L65+Wed!L65+Fri!L65+'Mon '!L65+'Wed (2)'!L65+Sun!L65+Sat!L65)</f>
        <v>2</v>
      </c>
      <c r="M65" s="110">
        <f>('Thurs (2)'!M65+Thurs!M65+'Tues '!M65+Wed!M65+Fri!M65+'Mon '!M65+'Wed (2)'!M65+Sun!M65+Sat!M65)</f>
        <v>3</v>
      </c>
      <c r="N65" s="110">
        <f>('Thurs (2)'!N65+Thurs!N65+'Tues '!N65+Wed!N65+Fri!N65+'Mon '!N65+'Wed (2)'!N65+Sun!N65+Sat!N65)</f>
        <v>1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0</v>
      </c>
      <c r="S65" s="110">
        <f>('Thurs (2)'!S65+Thurs!S65+'Tues '!S65+Wed!S65+Fri!S65+'Mon '!S65+'Wed (2)'!S65+Sun!S65+Sat!S65)</f>
        <v>0</v>
      </c>
      <c r="T65" s="110">
        <f>('Thurs (2)'!T65+Thurs!T65+'Tues '!T65+Wed!T65+Fri!T65+'Mon '!T65+'Wed (2)'!T65+Sun!T65+Sat!T65)</f>
        <v>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f>('Thurs (2)'!G66+Thurs!G66+'Tues '!G66+Wed!G66+Fri!G66+'Mon '!G66+'Wed (2)'!G66+Sun!G66+Sat!G66)</f>
        <v>5</v>
      </c>
      <c r="H66" s="110">
        <f>('Thurs (2)'!H66+Thurs!H66+'Tues '!H66+Wed!H66+Fri!H66+'Mon '!H66+'Wed (2)'!H66+Sun!H66+Sat!H66)</f>
        <v>0</v>
      </c>
      <c r="I66" s="110">
        <f>('Thurs (2)'!I66+Thurs!I66+'Tues '!I66+Wed!I66+Fri!I66+'Mon '!I66+'Wed (2)'!I66+Sun!I66+Sat!I66)</f>
        <v>0</v>
      </c>
      <c r="J66" s="110">
        <f>('Thurs (2)'!J66+Thurs!J66+'Tues '!J66+Wed!J66+Fri!J66+'Mon '!J66+'Wed (2)'!J66+Sun!J66+Sat!J66)</f>
        <v>0</v>
      </c>
      <c r="K66" s="110">
        <f>('Thurs (2)'!K66+Thurs!K66+'Tues '!K66+Wed!K66+Fri!K66+'Mon '!K66+'Wed (2)'!K66+Sun!K66+Sat!K66)</f>
        <v>2</v>
      </c>
      <c r="L66" s="110">
        <f>('Thurs (2)'!L66+Thurs!L66+'Tues '!L66+Wed!L66+Fri!L66+'Mon '!L66+'Wed (2)'!L66+Sun!L66+Sat!L66)</f>
        <v>2</v>
      </c>
      <c r="M66" s="110">
        <f>('Thurs (2)'!M66+Thurs!M66+'Tues '!M66+Wed!M66+Fri!M66+'Mon '!M66+'Wed (2)'!M66+Sun!M66+Sat!M66)</f>
        <v>0</v>
      </c>
      <c r="N66" s="110">
        <f>('Thurs (2)'!N66+Thurs!N66+'Tues '!N66+Wed!N66+Fri!N66+'Mon '!N66+'Wed (2)'!N66+Sun!N66+Sat!N66)</f>
        <v>0</v>
      </c>
      <c r="O66" s="110">
        <f>('Thurs (2)'!O66+Thurs!O66+'Tues '!O66+Wed!O66+Fri!O66+'Mon '!O66+'Wed (2)'!O66+Sun!O66+Sat!O66)</f>
        <v>0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0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11">
        <f t="shared" si="2"/>
        <v>0</v>
      </c>
      <c r="V66" s="111">
        <f t="shared" si="3"/>
        <v>0.4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f>('Thurs (2)'!G67+Thurs!G67+'Tues '!G67+Wed!G67+Fri!G67+'Mon '!G67+'Wed (2)'!G67+Sun!G67+Sat!G67)</f>
        <v>0</v>
      </c>
      <c r="H67" s="110">
        <f>('Thurs (2)'!H67+Thurs!H67+'Tues '!H67+Wed!H67+Fri!H67+'Mon '!H67+'Wed (2)'!H67+Sun!H67+Sat!H67)</f>
        <v>0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0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0</v>
      </c>
      <c r="M67" s="110">
        <f>('Thurs (2)'!M67+Thurs!M67+'Tues '!M67+Wed!M67+Fri!M67+'Mon '!M67+'Wed (2)'!M67+Sun!M67+Sat!M67)</f>
        <v>0</v>
      </c>
      <c r="N67" s="110">
        <f>('Thurs (2)'!N67+Thurs!N67+'Tues '!N67+Wed!N67+Fri!N67+'Mon '!N67+'Wed (2)'!N67+Sun!N67+Sat!N67)</f>
        <v>0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0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>
        <f>('Thurs (2)'!G69+Thurs!G69+'Tues '!G69+Wed!G69+Fri!G69+'Mon '!G69+'Wed (2)'!G69+Sun!G69+Sat!G69)</f>
        <v>0</v>
      </c>
      <c r="H69" s="110">
        <f>('Thurs (2)'!H69+Thurs!H69+'Tues '!H69+Wed!H69+Fri!H69+'Mon '!H69+'Wed (2)'!H69+Sun!H69+Sat!H69)</f>
        <v>0</v>
      </c>
      <c r="I69" s="110">
        <f>('Thurs (2)'!I69+Thurs!I69+'Tues '!I69+Wed!I69+Fri!I69+'Mon '!I69+'Wed (2)'!I69+Sun!I69+Sat!I69)</f>
        <v>0</v>
      </c>
      <c r="J69" s="110">
        <f>('Thurs (2)'!J69+Thurs!J69+'Tues '!J69+Wed!J69+Fri!J69+'Mon '!J69+'Wed (2)'!J69+Sun!J69+Sat!J69)</f>
        <v>0</v>
      </c>
      <c r="K69" s="110">
        <f>('Thurs (2)'!K69+Thurs!K69+'Tues '!K69+Wed!K69+Fri!K69+'Mon '!K69+'Wed (2)'!K69+Sun!K69+Sat!K69)</f>
        <v>0</v>
      </c>
      <c r="L69" s="110">
        <f>('Thurs (2)'!L69+Thurs!L69+'Tues '!L69+Wed!L69+Fri!L69+'Mon '!L69+'Wed (2)'!L69+Sun!L69+Sat!L69)</f>
        <v>0</v>
      </c>
      <c r="M69" s="110">
        <f>('Thurs (2)'!M69+Thurs!M69+'Tues '!M69+Wed!M69+Fri!M69+'Mon '!M69+'Wed (2)'!M69+Sun!M69+Sat!M69)</f>
        <v>0</v>
      </c>
      <c r="N69" s="110">
        <f>('Thurs (2)'!N69+Thurs!N69+'Tues '!N69+Wed!N69+Fri!N69+'Mon '!N69+'Wed (2)'!N69+Sun!N69+Sat!N69)</f>
        <v>0</v>
      </c>
      <c r="O69" s="110">
        <f>('Thurs (2)'!O69+Thurs!O69+'Tues '!O69+Wed!O69+Fri!O69+'Mon '!O69+'Wed (2)'!O69+Sun!O69+Sat!O69)</f>
        <v>0</v>
      </c>
      <c r="P69" s="110">
        <f>('Thurs (2)'!P69+Thurs!P69+'Tues '!P69+Wed!P69+Fri!P69+'Mon '!P69+'Wed (2)'!P69+Sun!P69+Sat!P69)</f>
        <v>0</v>
      </c>
      <c r="Q69" s="110">
        <f>('Thurs (2)'!Q69+Thurs!Q69+'Tues '!Q69+Wed!Q69+Fri!Q69+'Mon '!Q69+'Wed (2)'!Q69+Sun!Q69+Sat!Q69)</f>
        <v>0</v>
      </c>
      <c r="R69" s="110">
        <f>('Thurs (2)'!R69+Thurs!R69+'Tues '!R69+Wed!R69+Fri!R69+'Mon '!R69+'Wed (2)'!R69+Sun!R69+Sat!R69)</f>
        <v>0</v>
      </c>
      <c r="S69" s="110">
        <f>('Thurs (2)'!S69+Thurs!S69+'Tues '!S69+Wed!S69+Fri!S69+'Mon '!S69+'Wed (2)'!S69+Sun!S69+Sat!S69)</f>
        <v>0</v>
      </c>
      <c r="T69" s="110">
        <f>('Thurs (2)'!T69+Thurs!T69+'Tues '!T69+Wed!T69+Fri!T69+'Mon '!T69+'Wed (2)'!T69+Sun!T69+Sat!T69)</f>
        <v>0</v>
      </c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>
        <f>('Thurs (2)'!G71+Thurs!G71+'Tues '!G71+Wed!G71+Fri!G71+'Mon '!G71+'Wed (2)'!G71+Sun!G71+Sat!G71)</f>
        <v>0</v>
      </c>
      <c r="H71" s="110">
        <f>('Thurs (2)'!H71+Thurs!H71+'Tues '!H71+Wed!H71+Fri!H71+'Mon '!H71+'Wed (2)'!H71+Sun!H71+Sat!H71)</f>
        <v>0</v>
      </c>
      <c r="I71" s="110">
        <f>('Thurs (2)'!I71+Thurs!I71+'Tues '!I71+Wed!I71+Fri!I71+'Mon '!I71+'Wed (2)'!I71+Sun!I71+Sat!I71)</f>
        <v>0</v>
      </c>
      <c r="J71" s="110">
        <f>('Thurs (2)'!J71+Thurs!J71+'Tues '!J71+Wed!J71+Fri!J71+'Mon '!J71+'Wed (2)'!J71+Sun!J71+Sat!J71)</f>
        <v>0</v>
      </c>
      <c r="K71" s="110">
        <f>('Thurs (2)'!K71+Thurs!K71+'Tues '!K71+Wed!K71+Fri!K71+'Mon '!K71+'Wed (2)'!K71+Sun!K71+Sat!K71)</f>
        <v>0</v>
      </c>
      <c r="L71" s="110">
        <f>('Thurs (2)'!L71+Thurs!L71+'Tues '!L71+Wed!L71+Fri!L71+'Mon '!L71+'Wed (2)'!L71+Sun!L71+Sat!L71)</f>
        <v>0</v>
      </c>
      <c r="M71" s="110">
        <f>('Thurs (2)'!M71+Thurs!M71+'Tues '!M71+Wed!M71+Fri!M71+'Mon '!M71+'Wed (2)'!M71+Sun!M71+Sat!M71)</f>
        <v>0</v>
      </c>
      <c r="N71" s="110">
        <f>('Thurs (2)'!N71+Thurs!N71+'Tues '!N71+Wed!N71+Fri!N71+'Mon '!N71+'Wed (2)'!N71+Sun!N71+Sat!N71)</f>
        <v>0</v>
      </c>
      <c r="O71" s="110">
        <f>('Thurs (2)'!O71+Thurs!O71+'Tues '!O71+Wed!O71+Fri!O71+'Mon '!O71+'Wed (2)'!O71+Sun!O71+Sat!O71)</f>
        <v>0</v>
      </c>
      <c r="P71" s="110">
        <f>('Thurs (2)'!P71+Thurs!P71+'Tues '!P71+Wed!P71+Fri!P71+'Mon '!P71+'Wed (2)'!P71+Sun!P71+Sat!P71)</f>
        <v>0</v>
      </c>
      <c r="Q71" s="110">
        <f>('Thurs (2)'!Q71+Thurs!Q71+'Tues '!Q71+Wed!Q71+Fri!Q71+'Mon '!Q71+'Wed (2)'!Q71+Sun!Q71+Sat!Q71)</f>
        <v>0</v>
      </c>
      <c r="R71" s="110">
        <f>('Thurs (2)'!R71+Thurs!R71+'Tues '!R71+Wed!R71+Fri!R71+'Mon '!R71+'Wed (2)'!R71+Sun!R71+Sat!R71)</f>
        <v>0</v>
      </c>
      <c r="S71" s="110">
        <f>('Thurs (2)'!S71+Thurs!S71+'Tues '!S71+Wed!S71+Fri!S71+'Mon '!S71+'Wed (2)'!S71+Sun!S71+Sat!S71)</f>
        <v>0</v>
      </c>
      <c r="T71" s="110">
        <f>('Thurs (2)'!T71+Thurs!T71+'Tues '!T71+Wed!T71+Fri!T71+'Mon '!T71+'Wed (2)'!T71+Sun!T71+Sat!T71)</f>
        <v>0</v>
      </c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>
        <f>('Thurs (2)'!G73+Thurs!G73+'Tues '!G73+Wed!G73+Fri!G73+'Mon '!G73+'Wed (2)'!G73+Sun!G73+Sat!G73)</f>
        <v>0</v>
      </c>
      <c r="H73" s="110">
        <f>('Thurs (2)'!H73+Thurs!H73+'Tues '!H73+Wed!H73+Fri!H73+'Mon '!H73+'Wed (2)'!H73+Sun!H73+Sat!H73)</f>
        <v>0</v>
      </c>
      <c r="I73" s="110">
        <f>('Thurs (2)'!I73+Thurs!I73+'Tues '!I73+Wed!I73+Fri!I73+'Mon '!I73+'Wed (2)'!I73+Sun!I73+Sat!I73)</f>
        <v>0</v>
      </c>
      <c r="J73" s="110">
        <f>('Thurs (2)'!J73+Thurs!J73+'Tues '!J73+Wed!J73+Fri!J73+'Mon '!J73+'Wed (2)'!J73+Sun!J73+Sat!J73)</f>
        <v>0</v>
      </c>
      <c r="K73" s="110">
        <f>('Thurs (2)'!K73+Thurs!K73+'Tues '!K73+Wed!K73+Fri!K73+'Mon '!K73+'Wed (2)'!K73+Sun!K73+Sat!K73)</f>
        <v>0</v>
      </c>
      <c r="L73" s="110">
        <f>('Thurs (2)'!L73+Thurs!L73+'Tues '!L73+Wed!L73+Fri!L73+'Mon '!L73+'Wed (2)'!L73+Sun!L73+Sat!L73)</f>
        <v>0</v>
      </c>
      <c r="M73" s="110">
        <f>('Thurs (2)'!M73+Thurs!M73+'Tues '!M73+Wed!M73+Fri!M73+'Mon '!M73+'Wed (2)'!M73+Sun!M73+Sat!M73)</f>
        <v>0</v>
      </c>
      <c r="N73" s="110">
        <f>('Thurs (2)'!N73+Thurs!N73+'Tues '!N73+Wed!N73+Fri!N73+'Mon '!N73+'Wed (2)'!N73+Sun!N73+Sat!N73)</f>
        <v>0</v>
      </c>
      <c r="O73" s="110">
        <f>('Thurs (2)'!O73+Thurs!O73+'Tues '!O73+Wed!O73+Fri!O73+'Mon '!O73+'Wed (2)'!O73+Sun!O73+Sat!O73)</f>
        <v>0</v>
      </c>
      <c r="P73" s="110">
        <f>('Thurs (2)'!P73+Thurs!P73+'Tues '!P73+Wed!P73+Fri!P73+'Mon '!P73+'Wed (2)'!P73+Sun!P73+Sat!P73)</f>
        <v>0</v>
      </c>
      <c r="Q73" s="110">
        <f>('Thurs (2)'!Q73+Thurs!Q73+'Tues '!Q73+Wed!Q73+Fri!Q73+'Mon '!Q73+'Wed (2)'!Q73+Sun!Q73+Sat!Q73)</f>
        <v>0</v>
      </c>
      <c r="R73" s="110">
        <f>('Thurs (2)'!R73+Thurs!R73+'Tues '!R73+Wed!R73+Fri!R73+'Mon '!R73+'Wed (2)'!R73+Sun!R73+Sat!R73)</f>
        <v>0</v>
      </c>
      <c r="S73" s="110">
        <f>('Thurs (2)'!S73+Thurs!S73+'Tues '!S73+Wed!S73+Fri!S73+'Mon '!S73+'Wed (2)'!S73+Sun!S73+Sat!S73)</f>
        <v>0</v>
      </c>
      <c r="T73" s="110">
        <f>('Thurs (2)'!T73+Thurs!T73+'Tues '!T73+Wed!T73+Fri!T73+'Mon '!T73+'Wed (2)'!T73+Sun!T73+Sat!T73)</f>
        <v>0</v>
      </c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>
        <f>('Thurs (2)'!G75+Thurs!G75+'Tues '!G75+Wed!G75+Fri!G75+'Mon '!G75+'Wed (2)'!G75+Sun!G75+Sat!G75)</f>
        <v>0</v>
      </c>
      <c r="H75" s="110">
        <f>('Thurs (2)'!H75+Thurs!H75+'Tues '!H75+Wed!H75+Fri!H75+'Mon '!H75+'Wed (2)'!H75+Sun!H75+Sat!H75)</f>
        <v>0</v>
      </c>
      <c r="I75" s="110">
        <f>('Thurs (2)'!I75+Thurs!I75+'Tues '!I75+Wed!I75+Fri!I75+'Mon '!I75+'Wed (2)'!I75+Sun!I75+Sat!I75)</f>
        <v>0</v>
      </c>
      <c r="J75" s="110">
        <f>('Thurs (2)'!J75+Thurs!J75+'Tues '!J75+Wed!J75+Fri!J75+'Mon '!J75+'Wed (2)'!J75+Sun!J75+Sat!J75)</f>
        <v>0</v>
      </c>
      <c r="K75" s="110">
        <f>('Thurs (2)'!K75+Thurs!K75+'Tues '!K75+Wed!K75+Fri!K75+'Mon '!K75+'Wed (2)'!K75+Sun!K75+Sat!K75)</f>
        <v>0</v>
      </c>
      <c r="L75" s="110">
        <f>('Thurs (2)'!L75+Thurs!L75+'Tues '!L75+Wed!L75+Fri!L75+'Mon '!L75+'Wed (2)'!L75+Sun!L75+Sat!L75)</f>
        <v>0</v>
      </c>
      <c r="M75" s="110">
        <f>('Thurs (2)'!M75+Thurs!M75+'Tues '!M75+Wed!M75+Fri!M75+'Mon '!M75+'Wed (2)'!M75+Sun!M75+Sat!M75)</f>
        <v>0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0</v>
      </c>
      <c r="S75" s="110">
        <f>('Thurs (2)'!S75+Thurs!S75+'Tues '!S75+Wed!S75+Fri!S75+'Mon '!S75+'Wed (2)'!S75+Sun!S75+Sat!S75)</f>
        <v>0</v>
      </c>
      <c r="T75" s="110">
        <f>('Thurs (2)'!T75+Thurs!T75+'Tues '!T75+Wed!T75+Fri!T75+'Mon '!T75+'Wed (2)'!T75+Sun!T75+Sat!T75)</f>
        <v>0</v>
      </c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0</v>
      </c>
      <c r="S76" s="110">
        <f>('Thurs (2)'!S76+Thurs!S76+'Tues '!S76+Wed!S76+Fri!S76+'Mon '!S76+'Wed (2)'!S76+Sun!S76+Sat!S76)</f>
        <v>0</v>
      </c>
      <c r="T76" s="110">
        <f>('Thurs (2)'!T76+Thurs!T76+'Tues '!T76+Wed!T76+Fri!T76+'Mon '!T76+'Wed (2)'!T76+Sun!T76+Sat!T76)</f>
        <v>0</v>
      </c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>
        <f>('Thurs (2)'!G78+Thurs!G78+'Tues '!G78+Wed!G78+Fri!G78+'Mon '!G78+'Wed (2)'!G78+Sun!G78+Sat!G78)</f>
        <v>0</v>
      </c>
      <c r="H78" s="110">
        <f>('Thurs (2)'!H78+Thurs!H78+'Tues '!H78+Wed!H78+Fri!H78+'Mon '!H78+'Wed (2)'!H78+Sun!H78+Sat!H78)</f>
        <v>0</v>
      </c>
      <c r="I78" s="110">
        <f>('Thurs (2)'!I78+Thurs!I78+'Tues '!I78+Wed!I78+Fri!I78+'Mon '!I78+'Wed (2)'!I78+Sun!I78+Sat!I78)</f>
        <v>0</v>
      </c>
      <c r="J78" s="110">
        <f>('Thurs (2)'!J78+Thurs!J78+'Tues '!J78+Wed!J78+Fri!J78+'Mon '!J78+'Wed (2)'!J78+Sun!J78+Sat!J78)</f>
        <v>0</v>
      </c>
      <c r="K78" s="110">
        <f>('Thurs (2)'!K78+Thurs!K78+'Tues '!K78+Wed!K78+Fri!K78+'Mon '!K78+'Wed (2)'!K78+Sun!K78+Sat!K78)</f>
        <v>0</v>
      </c>
      <c r="L78" s="110">
        <f>('Thurs (2)'!L78+Thurs!L78+'Tues '!L78+Wed!L78+Fri!L78+'Mon '!L78+'Wed (2)'!L78+Sun!L78+Sat!L78)</f>
        <v>0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0</v>
      </c>
      <c r="O78" s="110">
        <f>('Thurs (2)'!O78+Thurs!O78+'Tues '!O78+Wed!O78+Fri!O78+'Mon '!O78+'Wed (2)'!O78+Sun!O78+Sat!O78)</f>
        <v>0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0</v>
      </c>
      <c r="S78" s="110">
        <f>('Thurs (2)'!S78+Thurs!S78+'Tues '!S78+Wed!S78+Fri!S78+'Mon '!S78+'Wed (2)'!S78+Sun!S78+Sat!S78)</f>
        <v>0</v>
      </c>
      <c r="T78" s="110">
        <f>('Thurs (2)'!T78+Thurs!T78+'Tues '!T78+Wed!T78+Fri!T78+'Mon '!T78+'Wed (2)'!T78+Sun!T78+Sat!T78)</f>
        <v>0</v>
      </c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>
        <f>('Thurs (2)'!G79+Thurs!G79+'Tues '!G79+Wed!G79+Fri!G79+'Mon '!G79+'Wed (2)'!G79+Sun!G79+Sat!G79)</f>
        <v>0</v>
      </c>
      <c r="H79" s="110">
        <f>('Thurs (2)'!H79+Thurs!H79+'Tues '!H79+Wed!H79+Fri!H79+'Mon '!H79+'Wed (2)'!H79+Sun!H79+Sat!H79)</f>
        <v>0</v>
      </c>
      <c r="I79" s="110">
        <f>('Thurs (2)'!I79+Thurs!I79+'Tues '!I79+Wed!I79+Fri!I79+'Mon '!I79+'Wed (2)'!I79+Sun!I79+Sat!I79)</f>
        <v>0</v>
      </c>
      <c r="J79" s="110">
        <f>('Thurs (2)'!J79+Thurs!J79+'Tues '!J79+Wed!J79+Fri!J79+'Mon '!J79+'Wed (2)'!J79+Sun!J79+Sat!J79)</f>
        <v>0</v>
      </c>
      <c r="K79" s="110">
        <f>('Thurs (2)'!K79+Thurs!K79+'Tues '!K79+Wed!K79+Fri!K79+'Mon '!K79+'Wed (2)'!K79+Sun!K79+Sat!K79)</f>
        <v>0</v>
      </c>
      <c r="L79" s="110">
        <f>('Thurs (2)'!L79+Thurs!L79+'Tues '!L79+Wed!L79+Fri!L79+'Mon '!L79+'Wed (2)'!L79+Sun!L79+Sat!L79)</f>
        <v>0</v>
      </c>
      <c r="M79" s="110">
        <f>('Thurs (2)'!M79+Thurs!M79+'Tues '!M79+Wed!M79+Fri!M79+'Mon '!M79+'Wed (2)'!M79+Sun!M79+Sat!M79)</f>
        <v>0</v>
      </c>
      <c r="N79" s="110">
        <f>('Thurs (2)'!N79+Thurs!N79+'Tues '!N79+Wed!N79+Fri!N79+'Mon '!N79+'Wed (2)'!N79+Sun!N79+Sat!N79)</f>
        <v>0</v>
      </c>
      <c r="O79" s="110">
        <f>('Thurs (2)'!O79+Thurs!O79+'Tues '!O79+Wed!O79+Fri!O79+'Mon '!O79+'Wed (2)'!O79+Sun!O79+Sat!O79)</f>
        <v>0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0</v>
      </c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>
        <f>('Thurs (2)'!G80+Thurs!G80+'Tues '!G80+Wed!G80+Fri!G80+'Mon '!G80+'Wed (2)'!G80+Sun!G80+Sat!G80)</f>
        <v>0</v>
      </c>
      <c r="H80" s="110">
        <f>('Thurs (2)'!H80+Thurs!H80+'Tues '!H80+Wed!H80+Fri!H80+'Mon '!H80+'Wed (2)'!H80+Sun!H80+Sat!H80)</f>
        <v>0</v>
      </c>
      <c r="I80" s="110">
        <f>('Thurs (2)'!I80+Thurs!I80+'Tues '!I80+Wed!I80+Fri!I80+'Mon '!I80+'Wed (2)'!I80+Sun!I80+Sat!I80)</f>
        <v>0</v>
      </c>
      <c r="J80" s="110">
        <f>('Thurs (2)'!J80+Thurs!J80+'Tues '!J80+Wed!J80+Fri!J80+'Mon '!J80+'Wed (2)'!J80+Sun!J80+Sat!J80)</f>
        <v>0</v>
      </c>
      <c r="K80" s="110">
        <f>('Thurs (2)'!K80+Thurs!K80+'Tues '!K80+Wed!K80+Fri!K80+'Mon '!K80+'Wed (2)'!K80+Sun!K80+Sat!K80)</f>
        <v>0</v>
      </c>
      <c r="L80" s="110">
        <f>('Thurs (2)'!L80+Thurs!L80+'Tues '!L80+Wed!L80+Fri!L80+'Mon '!L80+'Wed (2)'!L80+Sun!L80+Sat!L80)</f>
        <v>0</v>
      </c>
      <c r="M80" s="110">
        <f>('Thurs (2)'!M80+Thurs!M80+'Tues '!M80+Wed!M80+Fri!M80+'Mon '!M80+'Wed (2)'!M80+Sun!M80+Sat!M80)</f>
        <v>0</v>
      </c>
      <c r="N80" s="110">
        <f>('Thurs (2)'!N80+Thurs!N80+'Tues '!N80+Wed!N80+Fri!N80+'Mon '!N80+'Wed (2)'!N80+Sun!N80+Sat!N80)</f>
        <v>0</v>
      </c>
      <c r="O80" s="110">
        <f>('Thurs (2)'!O80+Thurs!O80+'Tues '!O80+Wed!O80+Fri!O80+'Mon '!O80+'Wed (2)'!O80+Sun!O80+Sat!O80)</f>
        <v>0</v>
      </c>
      <c r="P80" s="110">
        <f>('Thurs (2)'!P80+Thurs!P80+'Tues '!P80+Wed!P80+Fri!P80+'Mon '!P80+'Wed (2)'!P80+Sun!P80+Sat!P80)</f>
        <v>0</v>
      </c>
      <c r="Q80" s="110">
        <f>('Thurs (2)'!Q80+Thurs!Q80+'Tues '!Q80+Wed!Q80+Fri!Q80+'Mon '!Q80+'Wed (2)'!Q80+Sun!Q80+Sat!Q80)</f>
        <v>0</v>
      </c>
      <c r="R80" s="110">
        <f>('Thurs (2)'!R80+Thurs!R80+'Tues '!R80+Wed!R80+Fri!R80+'Mon '!R80+'Wed (2)'!R80+Sun!R80+Sat!R80)</f>
        <v>0</v>
      </c>
      <c r="S80" s="110">
        <f>('Thurs (2)'!S80+Thurs!S80+'Tues '!S80+Wed!S80+Fri!S80+'Mon '!S80+'Wed (2)'!S80+Sun!S80+Sat!S80)</f>
        <v>0</v>
      </c>
      <c r="T80" s="110">
        <f>('Thurs (2)'!T80+Thurs!T80+'Tues '!T80+Wed!T80+Fri!T80+'Mon '!T80+'Wed (2)'!T80+Sun!T80+Sat!T80)</f>
        <v>0</v>
      </c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>
        <f>('Thurs (2)'!G84+Thurs!G84+'Tues '!G84+Wed!G84+Fri!G84+'Mon '!G84+'Wed (2)'!G84+Sun!G84+Sat!G84)</f>
        <v>0</v>
      </c>
      <c r="H84" s="110">
        <f>('Thurs (2)'!H84+Thurs!H84+'Tues '!H84+Wed!H84+Fri!H84+'Mon '!H84+'Wed (2)'!H84+Sun!H84+Sat!H84)</f>
        <v>0</v>
      </c>
      <c r="I84" s="110">
        <f>('Thurs (2)'!I84+Thurs!I84+'Tues '!I84+Wed!I84+Fri!I84+'Mon '!I84+'Wed (2)'!I84+Sun!I84+Sat!I84)</f>
        <v>0</v>
      </c>
      <c r="J84" s="110">
        <f>('Thurs (2)'!J84+Thurs!J84+'Tues '!J84+Wed!J84+Fri!J84+'Mon '!J84+'Wed (2)'!J84+Sun!J84+Sat!J84)</f>
        <v>0</v>
      </c>
      <c r="K84" s="110">
        <f>('Thurs (2)'!K84+Thurs!K84+'Tues '!K84+Wed!K84+Fri!K84+'Mon '!K84+'Wed (2)'!K84+Sun!K84+Sat!K84)</f>
        <v>0</v>
      </c>
      <c r="L84" s="110">
        <f>('Thurs (2)'!L84+Thurs!L84+'Tues '!L84+Wed!L84+Fri!L84+'Mon '!L84+'Wed (2)'!L84+Sun!L84+Sat!L84)</f>
        <v>0</v>
      </c>
      <c r="M84" s="110">
        <f>('Thurs (2)'!M84+Thurs!M84+'Tues '!M84+Wed!M84+Fri!M84+'Mon '!M84+'Wed (2)'!M84+Sun!M84+Sat!M84)</f>
        <v>0</v>
      </c>
      <c r="N84" s="110">
        <f>('Thurs (2)'!N84+Thurs!N84+'Tues '!N84+Wed!N84+Fri!N84+'Mon '!N84+'Wed (2)'!N84+Sun!N84+Sat!N84)</f>
        <v>0</v>
      </c>
      <c r="O84" s="110">
        <f>('Thurs (2)'!O84+Thurs!O84+'Tues '!O84+Wed!O84+Fri!O84+'Mon '!O84+'Wed (2)'!O84+Sun!O84+Sat!O84)</f>
        <v>0</v>
      </c>
      <c r="P84" s="110">
        <f>('Thurs (2)'!P84+Thurs!P84+'Tues '!P84+Wed!P84+Fri!P84+'Mon '!P84+'Wed (2)'!P84+Sun!P84+Sat!P84)</f>
        <v>0</v>
      </c>
      <c r="Q84" s="110">
        <f>('Thurs (2)'!Q84+Thurs!Q84+'Tues '!Q84+Wed!Q84+Fri!Q84+'Mon '!Q84+'Wed (2)'!Q84+Sun!Q84+Sat!Q84)</f>
        <v>0</v>
      </c>
      <c r="R84" s="110">
        <f>('Thurs (2)'!R84+Thurs!R84+'Tues '!R84+Wed!R84+Fri!R84+'Mon '!R84+'Wed (2)'!R84+Sun!R84+Sat!R84)</f>
        <v>0</v>
      </c>
      <c r="S84" s="110">
        <f>('Thurs (2)'!S84+Thurs!S84+'Tues '!S84+Wed!S84+Fri!S84+'Mon '!S84+'Wed (2)'!S84+Sun!S84+Sat!S84)</f>
        <v>0</v>
      </c>
      <c r="T84" s="110">
        <f>('Thurs (2)'!T84+Thurs!T84+'Tues '!T84+Wed!T84+Fri!T84+'Mon '!T84+'Wed (2)'!T84+Sun!T84+Sat!T84)</f>
        <v>0</v>
      </c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>
        <f>('Thurs (2)'!G86+Thurs!G86+'Tues '!G86+Wed!G86+Fri!G86+'Mon '!G86+'Wed (2)'!G86+Sun!G86+Sat!G86)</f>
        <v>0</v>
      </c>
      <c r="H86" s="110">
        <f>('Thurs (2)'!H86+Thurs!H86+'Tues '!H86+Wed!H86+Fri!H86+'Mon '!H86+'Wed (2)'!H86+Sun!H86+Sat!H86)</f>
        <v>3</v>
      </c>
      <c r="I86" s="110">
        <f>('Thurs (2)'!I86+Thurs!I86+'Tues '!I86+Wed!I86+Fri!I86+'Mon '!I86+'Wed (2)'!I86+Sun!I86+Sat!I86)</f>
        <v>0</v>
      </c>
      <c r="J86" s="110">
        <f>('Thurs (2)'!J86+Thurs!J86+'Tues '!J86+Wed!J86+Fri!J86+'Mon '!J86+'Wed (2)'!J86+Sun!J86+Sat!J86)</f>
        <v>2</v>
      </c>
      <c r="K86" s="110">
        <f>('Thurs (2)'!K86+Thurs!K86+'Tues '!K86+Wed!K86+Fri!K86+'Mon '!K86+'Wed (2)'!K86+Sun!K86+Sat!K86)</f>
        <v>0</v>
      </c>
      <c r="L86" s="110">
        <f>('Thurs (2)'!L86+Thurs!L86+'Tues '!L86+Wed!L86+Fri!L86+'Mon '!L86+'Wed (2)'!L86+Sun!L86+Sat!L86)</f>
        <v>0</v>
      </c>
      <c r="M86" s="110">
        <f>('Thurs (2)'!M86+Thurs!M86+'Tues '!M86+Wed!M86+Fri!M86+'Mon '!M86+'Wed (2)'!M86+Sun!M86+Sat!M86)</f>
        <v>5</v>
      </c>
      <c r="N86" s="110">
        <f>('Thurs (2)'!N86+Thurs!N86+'Tues '!N86+Wed!N86+Fri!N86+'Mon '!N86+'Wed (2)'!N86+Sun!N86+Sat!N86)</f>
        <v>1</v>
      </c>
      <c r="O86" s="110">
        <f>('Thurs (2)'!O86+Thurs!O86+'Tues '!O86+Wed!O86+Fri!O86+'Mon '!O86+'Wed (2)'!O86+Sun!O86+Sat!O86)</f>
        <v>0</v>
      </c>
      <c r="P86" s="110">
        <f>('Thurs (2)'!P86+Thurs!P86+'Tues '!P86+Wed!P86+Fri!P86+'Mon '!P86+'Wed (2)'!P86+Sun!P86+Sat!P86)</f>
        <v>0</v>
      </c>
      <c r="Q86" s="110">
        <f>('Thurs (2)'!Q86+Thurs!Q86+'Tues '!Q86+Wed!Q86+Fri!Q86+'Mon '!Q86+'Wed (2)'!Q86+Sun!Q86+Sat!Q86)</f>
        <v>0</v>
      </c>
      <c r="R86" s="110">
        <f>('Thurs (2)'!R86+Thurs!R86+'Tues '!R86+Wed!R86+Fri!R86+'Mon '!R86+'Wed (2)'!R86+Sun!R86+Sat!R86)</f>
        <v>2</v>
      </c>
      <c r="S86" s="110">
        <f>('Thurs (2)'!S86+Thurs!S86+'Tues '!S86+Wed!S86+Fri!S86+'Mon '!S86+'Wed (2)'!S86+Sun!S86+Sat!S86)</f>
        <v>0</v>
      </c>
      <c r="T86" s="110">
        <f>('Thurs (2)'!T86+Thurs!T86+'Tues '!T86+Wed!T86+Fri!T86+'Mon '!T86+'Wed (2)'!T86+Sun!T86+Sat!T86)</f>
        <v>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>
        <f>('Thurs (2)'!G88+Thurs!G88+'Tues '!G88+Wed!G88+Fri!G88+'Mon '!G88+'Wed (2)'!G88+Sun!G88+Sat!G88)</f>
        <v>0</v>
      </c>
      <c r="H88" s="110">
        <f>('Thurs (2)'!H88+Thurs!H88+'Tues '!H88+Wed!H88+Fri!H88+'Mon '!H88+'Wed (2)'!H88+Sun!H88+Sat!H88)</f>
        <v>0</v>
      </c>
      <c r="I88" s="110">
        <f>('Thurs (2)'!I88+Thurs!I88+'Tues '!I88+Wed!I88+Fri!I88+'Mon '!I88+'Wed (2)'!I88+Sun!I88+Sat!I88)</f>
        <v>0</v>
      </c>
      <c r="J88" s="110">
        <f>('Thurs (2)'!J88+Thurs!J88+'Tues '!J88+Wed!J88+Fri!J88+'Mon '!J88+'Wed (2)'!J88+Sun!J88+Sat!J88)</f>
        <v>0</v>
      </c>
      <c r="K88" s="110">
        <f>('Thurs (2)'!K88+Thurs!K88+'Tues '!K88+Wed!K88+Fri!K88+'Mon '!K88+'Wed (2)'!K88+Sun!K88+Sat!K88)</f>
        <v>0</v>
      </c>
      <c r="L88" s="110">
        <f>('Thurs (2)'!L88+Thurs!L88+'Tues '!L88+Wed!L88+Fri!L88+'Mon '!L88+'Wed (2)'!L88+Sun!L88+Sat!L88)</f>
        <v>0</v>
      </c>
      <c r="M88" s="110">
        <f>('Thurs (2)'!M88+Thurs!M88+'Tues '!M88+Wed!M88+Fri!M88+'Mon '!M88+'Wed (2)'!M88+Sun!M88+Sat!M88)</f>
        <v>0</v>
      </c>
      <c r="N88" s="110">
        <f>('Thurs (2)'!N88+Thurs!N88+'Tues '!N88+Wed!N88+Fri!N88+'Mon '!N88+'Wed (2)'!N88+Sun!N88+Sat!N88)</f>
        <v>0</v>
      </c>
      <c r="O88" s="110">
        <f>('Thurs (2)'!O88+Thurs!O88+'Tues '!O88+Wed!O88+Fri!O88+'Mon '!O88+'Wed (2)'!O88+Sun!O88+Sat!O88)</f>
        <v>0</v>
      </c>
      <c r="P88" s="110">
        <f>('Thurs (2)'!P88+Thurs!P88+'Tues '!P88+Wed!P88+Fri!P88+'Mon '!P88+'Wed (2)'!P88+Sun!P88+Sat!P88)</f>
        <v>0</v>
      </c>
      <c r="Q88" s="110">
        <f>('Thurs (2)'!Q88+Thurs!Q88+'Tues '!Q88+Wed!Q88+Fri!Q88+'Mon '!Q88+'Wed (2)'!Q88+Sun!Q88+Sat!Q88)</f>
        <v>0</v>
      </c>
      <c r="R88" s="110">
        <f>('Thurs (2)'!R88+Thurs!R88+'Tues '!R88+Wed!R88+Fri!R88+'Mon '!R88+'Wed (2)'!R88+Sun!R88+Sat!R88)</f>
        <v>0</v>
      </c>
      <c r="S88" s="110">
        <f>('Thurs (2)'!S88+Thurs!S88+'Tues '!S88+Wed!S88+Fri!S88+'Mon '!S88+'Wed (2)'!S88+Sun!S88+Sat!S88)</f>
        <v>0</v>
      </c>
      <c r="T88" s="110">
        <f>('Thurs (2)'!T88+Thurs!T88+'Tues '!T88+Wed!T88+Fri!T88+'Mon '!T88+'Wed (2)'!T88+Sun!T88+Sat!T88)</f>
        <v>0</v>
      </c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>
        <f>('Thurs (2)'!G89+Thurs!G89+'Tues '!G89+Wed!G89+Fri!G89+'Mon '!G89+'Wed (2)'!G89+Sun!G89+Sat!G89)</f>
        <v>0</v>
      </c>
      <c r="H89" s="110">
        <f>('Thurs (2)'!H89+Thurs!H89+'Tues '!H89+Wed!H89+Fri!H89+'Mon '!H89+'Wed (2)'!H89+Sun!H89+Sat!H89)</f>
        <v>0</v>
      </c>
      <c r="I89" s="110">
        <f>('Thurs (2)'!I89+Thurs!I89+'Tues '!I89+Wed!I89+Fri!I89+'Mon '!I89+'Wed (2)'!I89+Sun!I89+Sat!I89)</f>
        <v>0</v>
      </c>
      <c r="J89" s="110">
        <f>('Thurs (2)'!J89+Thurs!J89+'Tues '!J89+Wed!J89+Fri!J89+'Mon '!J89+'Wed (2)'!J89+Sun!J89+Sat!J89)</f>
        <v>0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0</v>
      </c>
      <c r="N89" s="110">
        <f>('Thurs (2)'!N89+Thurs!N89+'Tues '!N89+Wed!N89+Fri!N89+'Mon '!N89+'Wed (2)'!N89+Sun!N89+Sat!N89)</f>
        <v>0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0</v>
      </c>
      <c r="S89" s="110">
        <f>('Thurs (2)'!S89+Thurs!S89+'Tues '!S89+Wed!S89+Fri!S89+'Mon '!S89+'Wed (2)'!S89+Sun!S89+Sat!S89)</f>
        <v>0</v>
      </c>
      <c r="T89" s="110">
        <f>('Thurs (2)'!T89+Thurs!T89+'Tues '!T89+Wed!T89+Fri!T89+'Mon '!T89+'Wed (2)'!T89+Sun!T89+Sat!T89)</f>
        <v>0</v>
      </c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>
        <f>('Thurs (2)'!G91+Thurs!G91+'Tues '!G91+Wed!G91+Fri!G91+'Mon '!G91+'Wed (2)'!G91+Sun!G91+Sat!G91)</f>
        <v>0</v>
      </c>
      <c r="H91" s="110">
        <f>('Thurs (2)'!H91+Thurs!H91+'Tues '!H91+Wed!H91+Fri!H91+'Mon '!H91+'Wed (2)'!H91+Sun!H91+Sat!H91)</f>
        <v>0</v>
      </c>
      <c r="I91" s="110">
        <f>('Thurs (2)'!I91+Thurs!I91+'Tues '!I91+Wed!I91+Fri!I91+'Mon '!I91+'Wed (2)'!I91+Sun!I91+Sat!I91)</f>
        <v>0</v>
      </c>
      <c r="J91" s="110">
        <f>('Thurs (2)'!J91+Thurs!J91+'Tues '!J91+Wed!J91+Fri!J91+'Mon '!J91+'Wed (2)'!J91+Sun!J91+Sat!J91)</f>
        <v>0</v>
      </c>
      <c r="K91" s="110">
        <f>('Thurs (2)'!K91+Thurs!K91+'Tues '!K91+Wed!K91+Fri!K91+'Mon '!K91+'Wed (2)'!K91+Sun!K91+Sat!K91)</f>
        <v>0</v>
      </c>
      <c r="L91" s="110">
        <f>('Thurs (2)'!L91+Thurs!L91+'Tues '!L91+Wed!L91+Fri!L91+'Mon '!L91+'Wed (2)'!L91+Sun!L91+Sat!L91)</f>
        <v>0</v>
      </c>
      <c r="M91" s="110">
        <f>('Thurs (2)'!M91+Thurs!M91+'Tues '!M91+Wed!M91+Fri!M91+'Mon '!M91+'Wed (2)'!M91+Sun!M91+Sat!M91)</f>
        <v>0</v>
      </c>
      <c r="N91" s="110">
        <f>('Thurs (2)'!N91+Thurs!N91+'Tues '!N91+Wed!N91+Fri!N91+'Mon '!N91+'Wed (2)'!N91+Sun!N91+Sat!N91)</f>
        <v>0</v>
      </c>
      <c r="O91" s="110">
        <f>('Thurs (2)'!O91+Thurs!O91+'Tues '!O91+Wed!O91+Fri!O91+'Mon '!O91+'Wed (2)'!O91+Sun!O91+Sat!O91)</f>
        <v>0</v>
      </c>
      <c r="P91" s="110">
        <f>('Thurs (2)'!P91+Thurs!P91+'Tues '!P91+Wed!P91+Fri!P91+'Mon '!P91+'Wed (2)'!P91+Sun!P91+Sat!P91)</f>
        <v>0</v>
      </c>
      <c r="Q91" s="110">
        <f>('Thurs (2)'!Q91+Thurs!Q91+'Tues '!Q91+Wed!Q91+Fri!Q91+'Mon '!Q91+'Wed (2)'!Q91+Sun!Q91+Sat!Q91)</f>
        <v>0</v>
      </c>
      <c r="R91" s="110">
        <f>('Thurs (2)'!R91+Thurs!R91+'Tues '!R91+Wed!R91+Fri!R91+'Mon '!R91+'Wed (2)'!R91+Sun!R91+Sat!R91)</f>
        <v>0</v>
      </c>
      <c r="S91" s="110">
        <f>('Thurs (2)'!S91+Thurs!S91+'Tues '!S91+Wed!S91+Fri!S91+'Mon '!S91+'Wed (2)'!S91+Sun!S91+Sat!S91)</f>
        <v>0</v>
      </c>
      <c r="T91" s="110">
        <f>('Thurs (2)'!T91+Thurs!T91+'Tues '!T91+Wed!T91+Fri!T91+'Mon '!T91+'Wed (2)'!T91+Sun!T91+Sat!T91)</f>
        <v>0</v>
      </c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(2)'!Q92+Sun!Q92+Sat!Q92)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>
        <f>('Thurs (2)'!G93+Thurs!G93+'Tues '!G93+Wed!G93+Fri!G93+'Mon '!G93+'Wed (2)'!G93+Sun!G93+Sat!G93)</f>
        <v>0</v>
      </c>
      <c r="H93" s="110">
        <f>('Thurs (2)'!H93+Thurs!H93+'Tues '!H93+Wed!H93+Fri!H93+'Mon '!H93+'Wed (2)'!H93+Sun!H93+Sat!H93)</f>
        <v>0</v>
      </c>
      <c r="I93" s="110">
        <f>('Thurs (2)'!I93+Thurs!I93+'Tues '!I93+Wed!I93+Fri!I93+'Mon '!I93+'Wed (2)'!I93+Sun!I93+Sat!I93)</f>
        <v>0</v>
      </c>
      <c r="J93" s="110">
        <f>('Thurs (2)'!J93+Thurs!J93+'Tues '!J93+Wed!J93+Fri!J93+'Mon '!J93+'Wed (2)'!J93+Sun!J93+Sat!J93)</f>
        <v>0</v>
      </c>
      <c r="K93" s="110">
        <f>('Thurs (2)'!K93+Thurs!K93+'Tues '!K93+Wed!K93+Fri!K93+'Mon '!K93+'Wed (2)'!K93+Sun!K93+Sat!K93)</f>
        <v>0</v>
      </c>
      <c r="L93" s="110">
        <f>('Thurs (2)'!L93+Thurs!L93+'Tues '!L93+Wed!L93+Fri!L93+'Mon '!L93+'Wed (2)'!L93+Sun!L93+Sat!L93)</f>
        <v>0</v>
      </c>
      <c r="M93" s="110">
        <f>('Thurs (2)'!M93+Thurs!M93+'Tues '!M93+Wed!M93+Fri!M93+'Mon '!M93+'Wed (2)'!M93+Sun!M93+Sat!M93)</f>
        <v>0</v>
      </c>
      <c r="N93" s="110">
        <f>('Thurs (2)'!N93+Thurs!N93+'Tues '!N93+Wed!N93+Fri!N93+'Mon '!N93+'Wed (2)'!N93+Sun!N93+Sat!N93)</f>
        <v>0</v>
      </c>
      <c r="O93" s="110">
        <f>('Thurs (2)'!O93+Thurs!O93+'Tues '!O93+Wed!O93+Fri!O93+'Mon '!O93+'Wed (2)'!O93+Sun!O93+Sat!O93)</f>
        <v>0</v>
      </c>
      <c r="P93" s="110">
        <f>('Thurs (2)'!P93+Thurs!P93+'Tues '!P93+Wed!P93+Fri!P93+'Mon '!P93+'Wed (2)'!P93+Sun!P93+Sat!P93)</f>
        <v>0</v>
      </c>
      <c r="Q93" s="110">
        <f>('Thurs (2)'!Q93+Thurs!Q93+'Tues '!Q93+Wed!Q93+Fri!Q93+'Mon '!Q93+'Wed (2)'!Q93+Sun!Q93+Sat!Q93)</f>
        <v>0</v>
      </c>
      <c r="R93" s="110">
        <f>('Thurs (2)'!R93+Thurs!R93+'Tues '!R93+Wed!R93+Fri!R93+'Mon '!R93+'Wed (2)'!R93+Sun!R93+Sat!R93)</f>
        <v>0</v>
      </c>
      <c r="S93" s="110">
        <f>('Thurs (2)'!S93+Thurs!S93+'Tues '!S93+Wed!S93+Fri!S93+'Mon '!S93+'Wed (2)'!S93+Sun!S93+Sat!S93)</f>
        <v>0</v>
      </c>
      <c r="T93" s="110">
        <f>('Thurs (2)'!T93+Thurs!T93+'Tues '!T93+Wed!T93+Fri!T93+'Mon '!T93+'Wed (2)'!T93+Sun!T93+Sat!T93)</f>
        <v>0</v>
      </c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>
        <f>('Thurs (2)'!G94+Thurs!G94+'Tues '!G94+Wed!G94+Fri!G94+'Mon '!G94+'Wed (2)'!G94+Sun!G94+Sat!G94)</f>
        <v>0</v>
      </c>
      <c r="H94" s="110">
        <f>('Thurs (2)'!H94+Thurs!H94+'Tues '!H94+Wed!H94+Fri!H94+'Mon '!H94+'Wed (2)'!H94+Sun!H94+Sat!H94)</f>
        <v>0</v>
      </c>
      <c r="I94" s="110">
        <f>('Thurs (2)'!I94+Thurs!I94+'Tues '!I94+Wed!I94+Fri!I94+'Mon '!I94+'Wed (2)'!I94+Sun!I94+Sat!I94)</f>
        <v>0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0</v>
      </c>
      <c r="N94" s="110">
        <f>('Thurs (2)'!N94+Thurs!N94+'Tues '!N94+Wed!N94+Fri!N94+'Mon '!N94+'Wed (2)'!N94+Sun!N94+Sat!N94)</f>
        <v>0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0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0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>
        <f>('Thurs (2)'!G98+Thurs!G98+'Tues '!G98+Wed!G98+Fri!G98+'Mon '!G98+'Wed (2)'!G98+Sun!G98+Sat!G98)</f>
        <v>0</v>
      </c>
      <c r="H98" s="110">
        <f>('Thurs (2)'!H98+Thurs!H98+'Tues '!H98+Wed!H98+Fri!H98+'Mon '!H98+'Wed (2)'!H98+Sun!H98+Sat!H98)</f>
        <v>0</v>
      </c>
      <c r="I98" s="110">
        <f>('Thurs (2)'!I98+Thurs!I98+'Tues '!I98+Wed!I98+Fri!I98+'Mon '!I98+'Wed (2)'!I98+Sun!I98+Sat!I98)</f>
        <v>0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0</v>
      </c>
      <c r="N98" s="110">
        <f>('Thurs (2)'!N98+Thurs!N98+'Tues '!N98+Wed!N98+Fri!N98+'Mon '!N98+'Wed (2)'!N98+Sun!N98+Sat!N98)</f>
        <v>0</v>
      </c>
      <c r="O98" s="110">
        <f>('Thurs (2)'!O98+Thurs!O98+'Tues '!O98+Wed!O98+Fri!O98+'Mon '!O98+'Wed (2)'!O98+Sun!O98+Sat!O98)</f>
        <v>0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0</v>
      </c>
      <c r="S98" s="110">
        <f>('Thurs (2)'!S98+Thurs!S98+'Tues '!S98+Wed!S98+Fri!S98+'Mon '!S98+'Wed (2)'!S98+Sun!S98+Sat!S98)</f>
        <v>0</v>
      </c>
      <c r="T98" s="110">
        <f>('Thurs (2)'!T98+Thurs!T98+'Tues '!T98+Wed!T98+Fri!T98+'Mon '!T98+'Wed (2)'!T98+Sun!T98+Sat!T98)</f>
        <v>0</v>
      </c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>
        <f>('Thurs (2)'!G99+Thurs!G99+'Tues '!G99+Wed!G99+Fri!G99+'Mon '!G99+'Wed (2)'!G99+Sun!G99+Sat!G99)</f>
        <v>0</v>
      </c>
      <c r="H99" s="110">
        <f>('Thurs (2)'!H99+Thurs!H99+'Tues '!H99+Wed!H99+Fri!H99+'Mon '!H99+'Wed (2)'!H99+Sun!H99+Sat!H99)</f>
        <v>0</v>
      </c>
      <c r="I99" s="110">
        <f>('Thurs (2)'!I99+Thurs!I99+'Tues '!I99+Wed!I99+Fri!I99+'Mon '!I99+'Wed (2)'!I99+Sun!I99+Sat!I99)</f>
        <v>0</v>
      </c>
      <c r="J99" s="110">
        <f>('Thurs (2)'!J99+Thurs!J99+'Tues '!J99+Wed!J99+Fri!J99+'Mon '!J99+'Wed (2)'!J99+Sun!J99+Sat!J99)</f>
        <v>0</v>
      </c>
      <c r="K99" s="110">
        <f>('Thurs (2)'!K99+Thurs!K99+'Tues '!K99+Wed!K99+Fri!K99+'Mon '!K99+'Wed (2)'!K99+Sun!K99+Sat!K99)</f>
        <v>0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0</v>
      </c>
      <c r="N99" s="110">
        <f>('Thurs (2)'!N99+Thurs!N99+'Tues '!N99+Wed!N99+Fri!N99+'Mon '!N99+'Wed (2)'!N99+Sun!N99+Sat!N99)</f>
        <v>0</v>
      </c>
      <c r="O99" s="110">
        <f>('Thurs (2)'!O99+Thurs!O99+'Tues '!O99+Wed!O99+Fri!O99+'Mon '!O99+'Wed (2)'!O99+Sun!O99+Sat!O99)</f>
        <v>0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0</v>
      </c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>
        <f>('Thurs (2)'!G100+Thurs!G100+'Tues '!G100+Wed!G100+Fri!G100+'Mon '!G100+'Wed (2)'!G100+Sun!G100+Sat!G100)</f>
        <v>0</v>
      </c>
      <c r="H100" s="110">
        <f>('Thurs (2)'!H100+Thurs!H100+'Tues '!H100+Wed!H100+Fri!H100+'Mon '!H100+'Wed (2)'!H100+Sun!H100+Sat!H100)</f>
        <v>0</v>
      </c>
      <c r="I100" s="110">
        <f>('Thurs (2)'!I100+Thurs!I100+'Tues '!I100+Wed!I100+Fri!I100+'Mon '!I100+'Wed (2)'!I100+Sun!I100+Sat!I100)</f>
        <v>0</v>
      </c>
      <c r="J100" s="110">
        <f>('Thurs (2)'!J100+Thurs!J100+'Tues '!J100+Wed!J100+Fri!J100+'Mon '!J100+'Wed (2)'!J100+Sun!J100+Sat!J100)</f>
        <v>0</v>
      </c>
      <c r="K100" s="110">
        <f>('Thurs (2)'!K100+Thurs!K100+'Tues '!K100+Wed!K100+Fri!K100+'Mon '!K100+'Wed (2)'!K100+Sun!K100+Sat!K100)</f>
        <v>0</v>
      </c>
      <c r="L100" s="110">
        <f>('Thurs (2)'!L100+Thurs!L100+'Tues '!L100+Wed!L100+Fri!L100+'Mon '!L100+'Wed (2)'!L100+Sun!L100+Sat!L100)</f>
        <v>0</v>
      </c>
      <c r="M100" s="110">
        <f>('Thurs (2)'!M100+Thurs!M100+'Tues '!M100+Wed!M100+Fri!M100+'Mon '!M100+'Wed (2)'!M100+Sun!M100+Sat!M100)</f>
        <v>0</v>
      </c>
      <c r="N100" s="110">
        <f>('Thurs (2)'!N100+Thurs!N100+'Tues '!N100+Wed!N100+Fri!N100+'Mon '!N100+'Wed (2)'!N100+Sun!N100+Sat!N100)</f>
        <v>0</v>
      </c>
      <c r="O100" s="110">
        <f>('Thurs (2)'!O100+Thurs!O100+'Tues '!O100+Wed!O100+Fri!O100+'Mon '!O100+'Wed (2)'!O100+Sun!O100+Sat!O100)</f>
        <v>0</v>
      </c>
      <c r="P100" s="110">
        <f>('Thurs (2)'!P100+Thurs!P100+'Tues '!P100+Wed!P100+Fri!P100+'Mon '!P100+'Wed (2)'!P100+Sun!P100+Sat!P100)</f>
        <v>0</v>
      </c>
      <c r="Q100" s="110">
        <f>('Thurs (2)'!Q100+Thurs!Q100+'Tues '!Q100+Wed!Q100+Fri!Q100+'Mon '!Q100+'Wed (2)'!Q100+Sun!Q100+Sat!Q100)</f>
        <v>0</v>
      </c>
      <c r="R100" s="110">
        <f>('Thurs (2)'!R100+Thurs!R100+'Tues '!R100+Wed!R100+Fri!R100+'Mon '!R100+'Wed (2)'!R100+Sun!R100+Sat!R100)</f>
        <v>0</v>
      </c>
      <c r="S100" s="110">
        <f>('Thurs (2)'!S100+Thurs!S100+'Tues '!S100+Wed!S100+Fri!S100+'Mon '!S100+'Wed (2)'!S100+Sun!S100+Sat!S100)</f>
        <v>0</v>
      </c>
      <c r="T100" s="110">
        <f>('Thurs (2)'!T100+Thurs!T100+'Tues '!T100+Wed!T100+Fri!T100+'Mon '!T100+'Wed (2)'!T100+Sun!T100+Sat!T100)</f>
        <v>0</v>
      </c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>
        <f>('Thurs (2)'!G103+Thurs!G103+'Tues '!G103+Wed!G103+Fri!G103+'Mon '!G103+'Wed (2)'!G103+Sun!G103+Sat!G103)</f>
        <v>0</v>
      </c>
      <c r="H103" s="110">
        <f>('Thurs (2)'!H103+Thurs!H103+'Tues '!H103+Wed!H103+Fri!H103+'Mon '!H103+'Wed (2)'!H103+Sun!H103+Sat!H103)</f>
        <v>0</v>
      </c>
      <c r="I103" s="110">
        <f>('Thurs (2)'!I103+Thurs!I103+'Tues '!I103+Wed!I103+Fri!I103+'Mon '!I103+'Wed (2)'!I103+Sun!I103+Sat!I103)</f>
        <v>0</v>
      </c>
      <c r="J103" s="110">
        <f>('Thurs (2)'!J103+Thurs!J103+'Tues '!J103+Wed!J103+Fri!J103+'Mon '!J103+'Wed (2)'!J103+Sun!J103+Sat!J103)</f>
        <v>0</v>
      </c>
      <c r="K103" s="110">
        <f>('Thurs (2)'!K103+Thurs!K103+'Tues '!K103+Wed!K103+Fri!K103+'Mon '!K103+'Wed (2)'!K103+Sun!K103+Sat!K103)</f>
        <v>0</v>
      </c>
      <c r="L103" s="110">
        <f>('Thurs (2)'!L103+Thurs!L103+'Tues '!L103+Wed!L103+Fri!L103+'Mon '!L103+'Wed (2)'!L103+Sun!L103+Sat!L103)</f>
        <v>0</v>
      </c>
      <c r="M103" s="110">
        <f>('Thurs (2)'!M103+Thurs!M103+'Tues '!M103+Wed!M103+Fri!M103+'Mon '!M103+'Wed (2)'!M103+Sun!M103+Sat!M103)</f>
        <v>0</v>
      </c>
      <c r="N103" s="110">
        <f>('Thurs (2)'!N103+Thurs!N103+'Tues '!N103+Wed!N103+Fri!N103+'Mon '!N103+'Wed (2)'!N103+Sun!N103+Sat!N103)</f>
        <v>0</v>
      </c>
      <c r="O103" s="110">
        <f>('Thurs (2)'!O103+Thurs!O103+'Tues '!O103+Wed!O103+Fri!O103+'Mon '!O103+'Wed (2)'!O103+Sun!O103+Sat!O103)</f>
        <v>0</v>
      </c>
      <c r="P103" s="110">
        <f>('Thurs (2)'!P103+Thurs!P103+'Tues '!P103+Wed!P103+Fri!P103+'Mon '!P103+'Wed (2)'!P103+Sun!P103+Sat!P103)</f>
        <v>0</v>
      </c>
      <c r="Q103" s="110">
        <f>('Thurs (2)'!Q103+Thurs!Q103+'Tues '!Q103+Wed!Q103+Fri!Q103+'Mon '!Q103+'Wed (2)'!Q103+Sun!Q103+Sat!Q103)</f>
        <v>0</v>
      </c>
      <c r="R103" s="110">
        <f>('Thurs (2)'!R103+Thurs!R103+'Tues '!R103+Wed!R103+Fri!R103+'Mon '!R103+'Wed (2)'!R103+Sun!R103+Sat!R103)</f>
        <v>0</v>
      </c>
      <c r="S103" s="110">
        <f>('Thurs (2)'!S103+Thurs!S103+'Tues '!S103+Wed!S103+Fri!S103+'Mon '!S103+'Wed (2)'!S103+Sun!S103+Sat!S103)</f>
        <v>0</v>
      </c>
      <c r="T103" s="110">
        <f>('Thurs (2)'!T103+Thurs!T103+'Tues '!T103+Wed!T103+Fri!T103+'Mon '!T103+'Wed (2)'!T103+Sun!T103+Sat!T103)</f>
        <v>0</v>
      </c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>
        <f>('Thurs (2)'!G104+Thurs!G104+'Tues '!G104+Wed!G104+Fri!G104+'Mon '!G104+'Wed (2)'!G104+Sun!G104+Sat!G104)</f>
        <v>0</v>
      </c>
      <c r="H104" s="110">
        <f>('Thurs (2)'!H104+Thurs!H104+'Tues '!H104+Wed!H104+Fri!H104+'Mon '!H104+'Wed (2)'!H104+Sun!H104+Sat!H104)</f>
        <v>0</v>
      </c>
      <c r="I104" s="110">
        <f>('Thurs (2)'!I104+Thurs!I104+'Tues '!I104+Wed!I104+Fri!I104+'Mon '!I104+'Wed (2)'!I104+Sun!I104+Sat!I104)</f>
        <v>0</v>
      </c>
      <c r="J104" s="110">
        <f>('Thurs (2)'!J104+Thurs!J104+'Tues '!J104+Wed!J104+Fri!J104+'Mon '!J104+'Wed (2)'!J104+Sun!J104+Sat!J104)</f>
        <v>0</v>
      </c>
      <c r="K104" s="110">
        <f>('Thurs (2)'!K104+Thurs!K104+'Tues '!K104+Wed!K104+Fri!K104+'Mon '!K104+'Wed (2)'!K104+Sun!K104+Sat!K104)</f>
        <v>0</v>
      </c>
      <c r="L104" s="110">
        <f>('Thurs (2)'!L104+Thurs!L104+'Tues '!L104+Wed!L104+Fri!L104+'Mon '!L104+'Wed (2)'!L104+Sun!L104+Sat!L104)</f>
        <v>0</v>
      </c>
      <c r="M104" s="110">
        <f>('Thurs (2)'!M104+Thurs!M104+'Tues '!M104+Wed!M104+Fri!M104+'Mon '!M104+'Wed (2)'!M104+Sun!M104+Sat!M104)</f>
        <v>0</v>
      </c>
      <c r="N104" s="110">
        <f>('Thurs (2)'!N104+Thurs!N104+'Tues '!N104+Wed!N104+Fri!N104+'Mon '!N104+'Wed (2)'!N104+Sun!N104+Sat!N104)</f>
        <v>0</v>
      </c>
      <c r="O104" s="110">
        <f>('Thurs (2)'!O104+Thurs!O104+'Tues '!O104+Wed!O104+Fri!O104+'Mon '!O104+'Wed (2)'!O104+Sun!O104+Sat!O104)</f>
        <v>0</v>
      </c>
      <c r="P104" s="110">
        <f>('Thurs (2)'!P104+Thurs!P104+'Tues '!P104+Wed!P104+Fri!P104+'Mon '!P104+'Wed (2)'!P104+Sun!P104+Sat!P104)</f>
        <v>0</v>
      </c>
      <c r="Q104" s="110">
        <f>('Thurs (2)'!Q104+Thurs!Q104+'Tues '!Q104+Wed!Q104+Fri!Q104+'Mon '!Q104+'Wed (2)'!Q104+Sun!Q104+Sat!Q104)</f>
        <v>0</v>
      </c>
      <c r="R104" s="110">
        <f>('Thurs (2)'!R104+Thurs!R104+'Tues '!R104+Wed!R104+Fri!R104+'Mon '!R104+'Wed (2)'!R104+Sun!R104+Sat!R104)</f>
        <v>0</v>
      </c>
      <c r="S104" s="110">
        <f>('Thurs (2)'!S104+Thurs!S104+'Tues '!S104+Wed!S104+Fri!S104+'Mon '!S104+'Wed (2)'!S104+Sun!S104+Sat!S104)</f>
        <v>0</v>
      </c>
      <c r="T104" s="110">
        <f>('Thurs (2)'!T104+Thurs!T104+'Tues '!T104+Wed!T104+Fri!T104+'Mon '!T104+'Wed (2)'!T104+Sun!T104+Sat!T104)</f>
        <v>0</v>
      </c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8762</v>
      </c>
      <c r="D2" s="10"/>
      <c r="E2" s="11">
        <f t="shared" ref="E2:R2" si="1">SUM(E5,E17,E20,E23,E26,E29)</f>
        <v>7755</v>
      </c>
      <c r="F2" s="11">
        <f t="shared" si="1"/>
        <v>26</v>
      </c>
      <c r="G2" s="11">
        <f t="shared" si="1"/>
        <v>15</v>
      </c>
      <c r="H2" s="11">
        <f t="shared" si="1"/>
        <v>5</v>
      </c>
      <c r="I2" s="11">
        <f t="shared" si="1"/>
        <v>2</v>
      </c>
      <c r="J2" s="11">
        <f t="shared" si="1"/>
        <v>1</v>
      </c>
      <c r="K2" s="11">
        <f t="shared" si="1"/>
        <v>0</v>
      </c>
      <c r="L2" s="11">
        <f t="shared" si="1"/>
        <v>0</v>
      </c>
      <c r="M2" s="11">
        <f t="shared" si="1"/>
        <v>8</v>
      </c>
      <c r="N2" s="11">
        <f t="shared" si="1"/>
        <v>12</v>
      </c>
      <c r="O2" s="11">
        <f t="shared" si="1"/>
        <v>4</v>
      </c>
      <c r="P2" s="11">
        <f t="shared" si="1"/>
        <v>10</v>
      </c>
      <c r="Q2" s="11">
        <f t="shared" si="1"/>
        <v>4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1752.4</v>
      </c>
      <c r="F4" s="24">
        <f>IFERROR((G2+R2)/F2,0)</f>
        <v>0.6923076923</v>
      </c>
      <c r="G4" s="24">
        <f>IFERROR(H2/G2,0)</f>
        <v>0.3333333333</v>
      </c>
      <c r="H4" s="23">
        <f>(C2/C4)</f>
        <v>132.7575758</v>
      </c>
      <c r="I4" s="25"/>
      <c r="J4" s="24">
        <f>IFERROR(J2/I2,0)</f>
        <v>0.5</v>
      </c>
      <c r="K4" s="25"/>
      <c r="L4" s="24">
        <f>IFERROR(L2/K2,0)</f>
        <v>0</v>
      </c>
      <c r="M4" s="26">
        <f>IFERROR(M2/G2,0)</f>
        <v>0.5333333333</v>
      </c>
      <c r="N4" s="25"/>
      <c r="O4" s="24">
        <f>IFERROR(O2/N2,0)</f>
        <v>0.3333333333</v>
      </c>
      <c r="P4" s="26"/>
      <c r="Q4" s="24">
        <f>IFERROR(Q2/P2,0)</f>
        <v>0.4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8762</v>
      </c>
      <c r="D5" s="31"/>
      <c r="E5" s="32">
        <f>SUMIFS(T:T,A:A,B5,D:D,"Y")</f>
        <v>7755</v>
      </c>
      <c r="F5" s="11">
        <f>SUMIF(A:A,B5,G:G)</f>
        <v>26</v>
      </c>
      <c r="G5" s="11">
        <f>SUMIF(A:A,B5,H:H)</f>
        <v>15</v>
      </c>
      <c r="H5" s="11">
        <f>SUMIF(A:A,B5,I:I)</f>
        <v>5</v>
      </c>
      <c r="I5" s="11">
        <f>SUMIF(A:A,B5,P:P)</f>
        <v>2</v>
      </c>
      <c r="J5" s="11">
        <f>SUMIF(A:A,B5,Q:Q)</f>
        <v>1</v>
      </c>
      <c r="K5" s="11">
        <f>SUMIF(A:A,B5,R:R)</f>
        <v>0</v>
      </c>
      <c r="L5" s="11">
        <f>SUMIF(A:A,B5,S:S)</f>
        <v>0</v>
      </c>
      <c r="M5" s="11">
        <f>SUMIF(A:A,B5,M:M)</f>
        <v>8</v>
      </c>
      <c r="N5" s="11">
        <f>SUMIF(A:A,B5,N:N)</f>
        <v>12</v>
      </c>
      <c r="O5" s="11">
        <f>SUMIF(A:A,B5,O:O)</f>
        <v>4</v>
      </c>
      <c r="P5" s="11">
        <f>SUMIF(A:A,B5,J:J)</f>
        <v>10</v>
      </c>
      <c r="Q5" s="11">
        <f>SUMIF(A:A,B5,K:K)</f>
        <v>4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1752.4</v>
      </c>
      <c r="F7" s="41">
        <f>IFERROR((G5+R5)/F5,0)</f>
        <v>0.6923076923</v>
      </c>
      <c r="G7" s="41">
        <f>IFERROR(H5/G5,0)</f>
        <v>0.3333333333</v>
      </c>
      <c r="H7" s="40">
        <f>(C5/C7)</f>
        <v>257.7058824</v>
      </c>
      <c r="I7" s="42"/>
      <c r="J7" s="41">
        <f>IFERROR(J5/I5,0)</f>
        <v>0.5</v>
      </c>
      <c r="K7" s="42"/>
      <c r="L7" s="41">
        <f>IFERROR(L5/K5,0)</f>
        <v>0</v>
      </c>
      <c r="M7" s="43">
        <f>IFERROR(M5/SUM(R5+G5,0),"")</f>
        <v>0.4444444444</v>
      </c>
      <c r="N7" s="42"/>
      <c r="O7" s="41">
        <f>IFERROR(O5/N5,0)</f>
        <v>0.3333333333</v>
      </c>
      <c r="P7" s="43"/>
      <c r="Q7" s="41">
        <f>IFERROR(Q5/P5,0)</f>
        <v>0.4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3710</v>
      </c>
      <c r="D8" s="48"/>
      <c r="E8" s="49">
        <f>SUMIFS(T:T,B:B,B8,D:D,"Y")</f>
        <v>2703</v>
      </c>
      <c r="F8" s="50">
        <f>SUMIF(B28:B1137,B8,G28:G1137)</f>
        <v>1</v>
      </c>
      <c r="G8" s="51">
        <f>SUMIF(B28:B1137,B8,H28:H1137)</f>
        <v>1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265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0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5052</v>
      </c>
      <c r="D11" s="48"/>
      <c r="E11" s="59">
        <f>SUMIFS(T:T,B:B,B11,D:D,"Y")</f>
        <v>5052</v>
      </c>
      <c r="F11" s="60">
        <f>SUMIF(B31:B1137,B11,G31:G1137)</f>
        <v>23</v>
      </c>
      <c r="G11" s="61">
        <f>SUMIF(B31:B1137,B11,H31:H1137)</f>
        <v>13</v>
      </c>
      <c r="H11" s="61">
        <f>SUMIF(B31:B1137,B11,I31:I1137)</f>
        <v>5</v>
      </c>
      <c r="I11" s="61">
        <f>SUMIF(B31:B1137,B11,P31:P1137)</f>
        <v>2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11</v>
      </c>
      <c r="O11" s="61">
        <f>SUMIF(B31:B1137,B11,O31:O1137)</f>
        <v>4</v>
      </c>
      <c r="P11" s="61">
        <f>SUMIF(B31:B1137,B11,J31:J1137)</f>
        <v>8</v>
      </c>
      <c r="Q11" s="61">
        <f>SUMIF(B31:B1137,B11,K31:K1137)</f>
        <v>4</v>
      </c>
      <c r="R11" s="62">
        <f>SUMIF(B31:B1137,B11,L31:L1137)</f>
        <v>2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1010.4</v>
      </c>
      <c r="F13" s="24">
        <f>IFERROR((G11+R11)/F11,0)</f>
        <v>0.652173913</v>
      </c>
      <c r="G13" s="24">
        <f>IFERROR(H11/G11,0)</f>
        <v>0.3846153846</v>
      </c>
      <c r="H13" s="23">
        <f>(C11/C13)</f>
        <v>1263</v>
      </c>
      <c r="I13" s="25"/>
      <c r="J13" s="24">
        <f>IFERROR(J11/I11,0)</f>
        <v>0.5</v>
      </c>
      <c r="K13" s="25"/>
      <c r="L13" s="24">
        <f>IFERROR(L11/K11,0)</f>
        <v>0</v>
      </c>
      <c r="M13" s="26">
        <f>IFERROR(M11/SUM(R11+G11,0),"")</f>
        <v>0.3333333333</v>
      </c>
      <c r="N13" s="25"/>
      <c r="O13" s="24">
        <f>IFERROR(O11/N11,0)</f>
        <v>0.3636363636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3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45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89">
        <v>2703.0</v>
      </c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1.0</v>
      </c>
      <c r="H37" s="189">
        <v>1.0</v>
      </c>
      <c r="I37" s="189">
        <v>0.0</v>
      </c>
      <c r="J37" s="189">
        <v>0.0</v>
      </c>
      <c r="K37" s="189">
        <v>0.0</v>
      </c>
      <c r="L37" s="189">
        <v>0.0</v>
      </c>
      <c r="M37" s="189">
        <v>0.0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89">
        <v>1007.0</v>
      </c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0.0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0.0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90">
        <v>0.0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0.0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30">
        <f t="shared" ref="U47:U67" si="4">IFERROR(I47/H47,0)</f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89">
        <v>0.0</v>
      </c>
      <c r="H48" s="189">
        <v>0.0</v>
      </c>
      <c r="I48" s="189">
        <v>0.0</v>
      </c>
      <c r="J48" s="189">
        <v>0.0</v>
      </c>
      <c r="K48" s="189">
        <v>0.0</v>
      </c>
      <c r="L48" s="189">
        <v>0.0</v>
      </c>
      <c r="M48" s="189">
        <v>0.0</v>
      </c>
      <c r="N48" s="189">
        <v>0.0</v>
      </c>
      <c r="O48" s="189">
        <v>0.0</v>
      </c>
      <c r="P48" s="189">
        <v>0.0</v>
      </c>
      <c r="Q48" s="189">
        <v>0.0</v>
      </c>
      <c r="R48" s="189">
        <v>0.0</v>
      </c>
      <c r="S48" s="189">
        <v>0.0</v>
      </c>
      <c r="T48" s="189">
        <v>0.0</v>
      </c>
      <c r="U48" s="130">
        <f t="shared" si="4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17.0</v>
      </c>
      <c r="H49" s="189">
        <v>8.0</v>
      </c>
      <c r="I49" s="189">
        <v>5.0</v>
      </c>
      <c r="J49" s="189">
        <v>4.0</v>
      </c>
      <c r="K49" s="189">
        <v>4.0</v>
      </c>
      <c r="L49" s="189">
        <v>1.0</v>
      </c>
      <c r="M49" s="189">
        <v>5.0</v>
      </c>
      <c r="N49" s="189">
        <v>7.0</v>
      </c>
      <c r="O49" s="189">
        <v>4.0</v>
      </c>
      <c r="P49" s="189">
        <v>1.0</v>
      </c>
      <c r="Q49" s="189">
        <v>1.0</v>
      </c>
      <c r="R49" s="189">
        <v>0.0</v>
      </c>
      <c r="S49" s="189">
        <v>0.0</v>
      </c>
      <c r="T49" s="189">
        <v>5052.0</v>
      </c>
      <c r="U49" s="130">
        <f t="shared" si="4"/>
        <v>0.625</v>
      </c>
      <c r="V49" s="130">
        <f t="shared" si="3"/>
        <v>0.5294117647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4.0</v>
      </c>
      <c r="H50" s="189">
        <v>4.0</v>
      </c>
      <c r="I50" s="189">
        <v>0.0</v>
      </c>
      <c r="J50" s="189">
        <v>3.0</v>
      </c>
      <c r="K50" s="189">
        <v>0.0</v>
      </c>
      <c r="L50" s="189">
        <v>0.0</v>
      </c>
      <c r="M50" s="189">
        <v>0.0</v>
      </c>
      <c r="N50" s="189">
        <v>3.0</v>
      </c>
      <c r="O50" s="189">
        <v>0.0</v>
      </c>
      <c r="P50" s="189">
        <v>1.0</v>
      </c>
      <c r="Q50" s="189">
        <v>0.0</v>
      </c>
      <c r="R50" s="189">
        <v>0.0</v>
      </c>
      <c r="S50" s="189">
        <v>0.0</v>
      </c>
      <c r="T50" s="110"/>
      <c r="U50" s="130">
        <f t="shared" si="4"/>
        <v>0</v>
      </c>
      <c r="V50" s="130">
        <f t="shared" si="3"/>
        <v>1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2.0</v>
      </c>
      <c r="H51" s="189">
        <v>1.0</v>
      </c>
      <c r="I51" s="189">
        <v>0.0</v>
      </c>
      <c r="J51" s="189">
        <v>1.0</v>
      </c>
      <c r="K51" s="189">
        <v>0.0</v>
      </c>
      <c r="L51" s="189">
        <v>1.0</v>
      </c>
      <c r="M51" s="189">
        <v>0.0</v>
      </c>
      <c r="N51" s="189">
        <v>1.0</v>
      </c>
      <c r="O51" s="189">
        <v>0.0</v>
      </c>
      <c r="P51" s="189">
        <v>0.0</v>
      </c>
      <c r="Q51" s="189">
        <v>0.0</v>
      </c>
      <c r="R51" s="189">
        <v>0.0</v>
      </c>
      <c r="S51" s="189">
        <v>0.0</v>
      </c>
      <c r="T51" s="189">
        <v>0.0</v>
      </c>
      <c r="U51" s="130">
        <f t="shared" si="4"/>
        <v>0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4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4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4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4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4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4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4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4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4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4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4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v>0.0</v>
      </c>
      <c r="H63" s="110">
        <v>0.0</v>
      </c>
      <c r="I63" s="110">
        <v>0.0</v>
      </c>
      <c r="J63" s="110">
        <v>0.0</v>
      </c>
      <c r="K63" s="110">
        <v>0.0</v>
      </c>
      <c r="L63" s="110">
        <v>0.0</v>
      </c>
      <c r="M63" s="110">
        <v>0.0</v>
      </c>
      <c r="N63" s="110">
        <v>0.0</v>
      </c>
      <c r="O63" s="110">
        <v>0.0</v>
      </c>
      <c r="P63" s="110">
        <v>0.0</v>
      </c>
      <c r="Q63" s="110">
        <v>0.0</v>
      </c>
      <c r="R63" s="110">
        <v>0.0</v>
      </c>
      <c r="S63" s="110">
        <v>0.0</v>
      </c>
      <c r="T63" s="110">
        <v>0.0</v>
      </c>
      <c r="U63" s="111">
        <f t="shared" si="4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1">
        <f t="shared" si="4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89">
        <v>2.0</v>
      </c>
      <c r="H65" s="189">
        <v>1.0</v>
      </c>
      <c r="I65" s="189">
        <v>0.0</v>
      </c>
      <c r="J65" s="189">
        <v>2.0</v>
      </c>
      <c r="K65" s="189">
        <v>0.0</v>
      </c>
      <c r="L65" s="189">
        <v>1.0</v>
      </c>
      <c r="M65" s="189">
        <v>3.0</v>
      </c>
      <c r="N65" s="189">
        <v>1.0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11">
        <f t="shared" si="4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11">
        <f t="shared" si="4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11">
        <f t="shared" si="4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5">IFERROR(I71/H71,0)</f>
        <v>0</v>
      </c>
      <c r="V71" s="111">
        <f t="shared" ref="V71:V82" si="6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5"/>
        <v>0</v>
      </c>
      <c r="V72" s="111">
        <f t="shared" si="6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5"/>
        <v>0</v>
      </c>
      <c r="V73" s="111">
        <f t="shared" si="6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5"/>
        <v>0</v>
      </c>
      <c r="V74" s="111">
        <f t="shared" si="6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5"/>
        <v>0</v>
      </c>
      <c r="V75" s="111">
        <f t="shared" si="6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5"/>
        <v>0</v>
      </c>
      <c r="V79" s="111">
        <f t="shared" si="6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7">IFERROR(I84/H84,0)</f>
        <v>0</v>
      </c>
      <c r="V84" s="111">
        <f t="shared" ref="V84:V89" si="8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7"/>
        <v>0</v>
      </c>
      <c r="V85" s="111">
        <f t="shared" si="8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7"/>
        <v>0</v>
      </c>
      <c r="V86" s="111">
        <f t="shared" si="8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7"/>
        <v>0</v>
      </c>
      <c r="V87" s="111">
        <f t="shared" si="8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7"/>
        <v>0</v>
      </c>
      <c r="V89" s="111">
        <f t="shared" si="8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9">IFERROR(I91/H91,0)</f>
        <v>0</v>
      </c>
      <c r="V91" s="111">
        <f t="shared" ref="V91:V101" si="10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9"/>
        <v>0</v>
      </c>
      <c r="V92" s="111">
        <f t="shared" si="10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9"/>
        <v>0</v>
      </c>
      <c r="V93" s="111">
        <f t="shared" si="10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9"/>
        <v>0</v>
      </c>
      <c r="V94" s="111">
        <f t="shared" si="10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1">IFERROR(I103/H103,0)</f>
        <v>0</v>
      </c>
      <c r="V103" s="130">
        <f t="shared" ref="V103:V104" si="12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1"/>
        <v>0</v>
      </c>
      <c r="V104" s="130">
        <f t="shared" si="12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13424</v>
      </c>
      <c r="D2" s="10"/>
      <c r="E2" s="11">
        <f t="shared" ref="E2:R2" si="1">SUM(E5,E17,E20,E23,E26,E29)</f>
        <v>10052</v>
      </c>
      <c r="F2" s="11">
        <f t="shared" si="1"/>
        <v>29</v>
      </c>
      <c r="G2" s="11">
        <f t="shared" si="1"/>
        <v>13</v>
      </c>
      <c r="H2" s="11">
        <f t="shared" si="1"/>
        <v>6</v>
      </c>
      <c r="I2" s="11">
        <f t="shared" si="1"/>
        <v>1</v>
      </c>
      <c r="J2" s="11">
        <f t="shared" si="1"/>
        <v>1</v>
      </c>
      <c r="K2" s="11">
        <f t="shared" si="1"/>
        <v>2</v>
      </c>
      <c r="L2" s="11">
        <f t="shared" si="1"/>
        <v>1</v>
      </c>
      <c r="M2" s="11">
        <f t="shared" si="1"/>
        <v>30</v>
      </c>
      <c r="N2" s="11">
        <f t="shared" si="1"/>
        <v>7</v>
      </c>
      <c r="O2" s="11">
        <f t="shared" si="1"/>
        <v>4</v>
      </c>
      <c r="P2" s="11">
        <f t="shared" si="1"/>
        <v>5</v>
      </c>
      <c r="Q2" s="11">
        <f t="shared" si="1"/>
        <v>3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2237.333333</v>
      </c>
      <c r="F4" s="24">
        <f>IFERROR((G2+R2)/F2,0)</f>
        <v>0.5172413793</v>
      </c>
      <c r="G4" s="24">
        <f>IFERROR(H2/G2,0)</f>
        <v>0.4615384615</v>
      </c>
      <c r="H4" s="23">
        <f>(C2/C4)</f>
        <v>203.3939394</v>
      </c>
      <c r="I4" s="25"/>
      <c r="J4" s="24">
        <f>IFERROR(J2/I2,0)</f>
        <v>1</v>
      </c>
      <c r="K4" s="25"/>
      <c r="L4" s="24">
        <f>IFERROR(L2/K2,0)</f>
        <v>0.5</v>
      </c>
      <c r="M4" s="26">
        <f>IFERROR(M2/G2,0)</f>
        <v>2.307692308</v>
      </c>
      <c r="N4" s="25"/>
      <c r="O4" s="24">
        <f>IFERROR(O2/N2,0)</f>
        <v>0.5714285714</v>
      </c>
      <c r="P4" s="26"/>
      <c r="Q4" s="24">
        <f>IFERROR(Q2/P2,0)</f>
        <v>0.6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13424</v>
      </c>
      <c r="D5" s="31"/>
      <c r="E5" s="32">
        <f>SUMIFS(T:T,A:A,B5,D:D,"Y")</f>
        <v>10052</v>
      </c>
      <c r="F5" s="11">
        <f>SUMIF(A:A,B5,G:G)</f>
        <v>29</v>
      </c>
      <c r="G5" s="11">
        <f>SUMIF(A:A,B5,H:H)</f>
        <v>13</v>
      </c>
      <c r="H5" s="11">
        <f>SUMIF(A:A,B5,I:I)</f>
        <v>6</v>
      </c>
      <c r="I5" s="11">
        <f>SUMIF(A:A,B5,P:P)</f>
        <v>1</v>
      </c>
      <c r="J5" s="11">
        <f>SUMIF(A:A,B5,Q:Q)</f>
        <v>1</v>
      </c>
      <c r="K5" s="11">
        <f>SUMIF(A:A,B5,R:R)</f>
        <v>2</v>
      </c>
      <c r="L5" s="11">
        <f>SUMIF(A:A,B5,S:S)</f>
        <v>1</v>
      </c>
      <c r="M5" s="11">
        <f>SUMIF(A:A,B5,M:M)</f>
        <v>30</v>
      </c>
      <c r="N5" s="11">
        <f>SUMIF(A:A,B5,N:N)</f>
        <v>7</v>
      </c>
      <c r="O5" s="11">
        <f>SUMIF(A:A,B5,O:O)</f>
        <v>4</v>
      </c>
      <c r="P5" s="11">
        <f>SUMIF(A:A,B5,J:J)</f>
        <v>5</v>
      </c>
      <c r="Q5" s="11">
        <f>SUMIF(A:A,B5,K:K)</f>
        <v>3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2237.333333</v>
      </c>
      <c r="F7" s="41">
        <f>IFERROR((G5+R5)/F5,0)</f>
        <v>0.5172413793</v>
      </c>
      <c r="G7" s="41">
        <f>IFERROR(H5/G5,0)</f>
        <v>0.4615384615</v>
      </c>
      <c r="H7" s="40">
        <f>(C5/C7)</f>
        <v>394.8235294</v>
      </c>
      <c r="I7" s="42"/>
      <c r="J7" s="41">
        <f>IFERROR(J5/I5,0)</f>
        <v>1</v>
      </c>
      <c r="K7" s="42"/>
      <c r="L7" s="41">
        <f>IFERROR(L5/K5,0)</f>
        <v>0.5</v>
      </c>
      <c r="M7" s="43">
        <f>IFERROR(M5/SUM(R5+G5,0),"")</f>
        <v>2</v>
      </c>
      <c r="N7" s="42"/>
      <c r="O7" s="41">
        <f>IFERROR(O5/N5,0)</f>
        <v>0.5714285714</v>
      </c>
      <c r="P7" s="43"/>
      <c r="Q7" s="41">
        <f>IFERROR(Q5/P5,0)</f>
        <v>0.6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8108</v>
      </c>
      <c r="D8" s="48"/>
      <c r="E8" s="49">
        <f>SUMIFS(T:T,B:B,B8,D:D,"Y")</f>
        <v>6408</v>
      </c>
      <c r="F8" s="50">
        <f>SUMIF(B28:B1137,B8,G28:G1137)</f>
        <v>10</v>
      </c>
      <c r="G8" s="51">
        <f>SUMIF(B28:B1137,B8,H28:H1137)</f>
        <v>6</v>
      </c>
      <c r="H8" s="51">
        <f>SUMIF(B28:B1137,B8,I28:I1137)</f>
        <v>2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2</v>
      </c>
      <c r="L8" s="51">
        <f>SUMIF(B28:B1137,B8,S28:S1137)</f>
        <v>1</v>
      </c>
      <c r="M8" s="51">
        <f>SUMIF(B28:B1137,B8,M28:M1137)</f>
        <v>23</v>
      </c>
      <c r="N8" s="51">
        <f>SUMIF(B28:B1137,B8,N28:N1137)</f>
        <v>3</v>
      </c>
      <c r="O8" s="51">
        <f>SUMIF(B28:B1137,B8,O28:O1137)</f>
        <v>1</v>
      </c>
      <c r="P8" s="51">
        <f>SUMIF(B28:B1137,B8,J28:J1137)</f>
        <v>1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4054</v>
      </c>
      <c r="F10" s="24">
        <f>IFERROR((G8+R8)/F8,0)</f>
        <v>0.7</v>
      </c>
      <c r="G10" s="24">
        <f>IFERROR(H8/G8,0)</f>
        <v>0.3333333333</v>
      </c>
      <c r="H10" s="23">
        <f>(C8/C10)</f>
        <v>579.1428571</v>
      </c>
      <c r="I10" s="25"/>
      <c r="J10" s="24">
        <f>IFERROR(J8/I8,0)</f>
        <v>0</v>
      </c>
      <c r="K10" s="25"/>
      <c r="L10" s="24">
        <f>IFERROR(L8/K8,0)</f>
        <v>0.5</v>
      </c>
      <c r="M10" s="26">
        <f>IFERROR(M8/SUM(R8+G8,0),"")</f>
        <v>3.285714286</v>
      </c>
      <c r="N10" s="25"/>
      <c r="O10" s="24">
        <f>IFERROR(O8/N8,0)</f>
        <v>0.3333333333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5316</v>
      </c>
      <c r="D11" s="48"/>
      <c r="E11" s="59">
        <f>SUMIFS(T:T,B:B,B11,D:D,"Y")</f>
        <v>3644</v>
      </c>
      <c r="F11" s="60">
        <f>SUMIF(B31:B1137,B11,G31:G1137)</f>
        <v>17</v>
      </c>
      <c r="G11" s="61">
        <f>SUMIF(B31:B1137,B11,H31:H1137)</f>
        <v>6</v>
      </c>
      <c r="H11" s="61">
        <f>SUMIF(B31:B1137,B11,I31:I1137)</f>
        <v>4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7</v>
      </c>
      <c r="N11" s="61">
        <f>SUMIF(B31:B1137,B11,N31:N1137)</f>
        <v>4</v>
      </c>
      <c r="O11" s="61">
        <f>SUMIF(B31:B1137,B11,O31:O1137)</f>
        <v>3</v>
      </c>
      <c r="P11" s="61">
        <f>SUMIF(B31:B1137,B11,J31:J1137)</f>
        <v>3</v>
      </c>
      <c r="Q11" s="61">
        <f>SUMIF(B31:B1137,B11,K31:K1137)</f>
        <v>2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1329</v>
      </c>
      <c r="F13" s="24">
        <f>IFERROR((G11+R11)/F11,0)</f>
        <v>0.4117647059</v>
      </c>
      <c r="G13" s="24">
        <f>IFERROR(H11/G11,0)</f>
        <v>0.6666666667</v>
      </c>
      <c r="H13" s="23">
        <f>(C11/C13)</f>
        <v>1329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0.75</v>
      </c>
      <c r="P13" s="26"/>
      <c r="Q13" s="24">
        <f>IFERROR(Q11/P11,0)</f>
        <v>0.6666666667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0.0</v>
      </c>
      <c r="H37" s="189">
        <v>1.0</v>
      </c>
      <c r="I37" s="189">
        <v>1.0</v>
      </c>
      <c r="J37" s="189">
        <v>1.0</v>
      </c>
      <c r="K37" s="189">
        <v>1.0</v>
      </c>
      <c r="L37" s="189">
        <v>0.0</v>
      </c>
      <c r="M37" s="189">
        <v>7.0</v>
      </c>
      <c r="N37" s="189">
        <v>0.0</v>
      </c>
      <c r="O37" s="189">
        <v>0.0</v>
      </c>
      <c r="P37" s="189">
        <v>0.0</v>
      </c>
      <c r="Q37" s="189">
        <v>0.0</v>
      </c>
      <c r="R37" s="189">
        <v>1.0</v>
      </c>
      <c r="S37" s="189">
        <v>1.0</v>
      </c>
      <c r="T37" s="189">
        <v>6408.0</v>
      </c>
      <c r="U37" s="111">
        <f t="shared" si="2"/>
        <v>1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5.0</v>
      </c>
      <c r="H38" s="189">
        <v>4.0</v>
      </c>
      <c r="I38" s="189">
        <v>1.0</v>
      </c>
      <c r="J38" s="189">
        <v>0.0</v>
      </c>
      <c r="K38" s="189">
        <v>0.0</v>
      </c>
      <c r="L38" s="189">
        <v>1.0</v>
      </c>
      <c r="M38" s="189">
        <v>16.0</v>
      </c>
      <c r="N38" s="189">
        <v>3.0</v>
      </c>
      <c r="O38" s="189">
        <v>1.0</v>
      </c>
      <c r="P38" s="189">
        <v>0.0</v>
      </c>
      <c r="Q38" s="189">
        <v>0.0</v>
      </c>
      <c r="R38" s="189">
        <v>1.0</v>
      </c>
      <c r="S38" s="189">
        <v>0.0</v>
      </c>
      <c r="T38" s="189">
        <v>1700.0</v>
      </c>
      <c r="U38" s="111">
        <f t="shared" si="2"/>
        <v>0.25</v>
      </c>
      <c r="V38" s="111">
        <f t="shared" si="3"/>
        <v>1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89">
        <v>1.0</v>
      </c>
      <c r="H40" s="189">
        <v>1.0</v>
      </c>
      <c r="I40" s="189">
        <v>0.0</v>
      </c>
      <c r="J40" s="189">
        <v>0.0</v>
      </c>
      <c r="K40" s="189">
        <v>0.0</v>
      </c>
      <c r="L40" s="189">
        <v>0.0</v>
      </c>
      <c r="M40" s="189">
        <v>0.0</v>
      </c>
      <c r="N40" s="189">
        <v>0.0</v>
      </c>
      <c r="O40" s="189">
        <v>0.0</v>
      </c>
      <c r="P40" s="189">
        <v>0.0</v>
      </c>
      <c r="Q40" s="189">
        <v>0.0</v>
      </c>
      <c r="R40" s="189">
        <v>0.0</v>
      </c>
      <c r="S40" s="189">
        <v>0.0</v>
      </c>
      <c r="T40" s="189">
        <v>0.0</v>
      </c>
      <c r="U40" s="111">
        <f t="shared" si="2"/>
        <v>0</v>
      </c>
      <c r="V40" s="111">
        <f t="shared" si="3"/>
        <v>1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2.0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1.0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1.0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10.0</v>
      </c>
      <c r="H49" s="189">
        <v>2.0</v>
      </c>
      <c r="I49" s="189">
        <v>2.0</v>
      </c>
      <c r="J49" s="189">
        <v>1.0</v>
      </c>
      <c r="K49" s="189">
        <v>1.0</v>
      </c>
      <c r="L49" s="189">
        <v>0.0</v>
      </c>
      <c r="M49" s="189">
        <v>0.0</v>
      </c>
      <c r="N49" s="189">
        <v>2.0</v>
      </c>
      <c r="O49" s="189">
        <v>2.0</v>
      </c>
      <c r="P49" s="189">
        <v>0.0</v>
      </c>
      <c r="Q49" s="189">
        <v>0.0</v>
      </c>
      <c r="R49" s="189">
        <v>0.0</v>
      </c>
      <c r="S49" s="189">
        <v>0.0</v>
      </c>
      <c r="T49" s="189">
        <v>1890.0</v>
      </c>
      <c r="U49" s="130">
        <f t="shared" si="2"/>
        <v>1</v>
      </c>
      <c r="V49" s="130">
        <f t="shared" si="3"/>
        <v>0.2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4.0</v>
      </c>
      <c r="H50" s="189">
        <v>2.0</v>
      </c>
      <c r="I50" s="189">
        <v>1.0</v>
      </c>
      <c r="J50" s="189">
        <v>0.0</v>
      </c>
      <c r="K50" s="189">
        <v>0.0</v>
      </c>
      <c r="L50" s="189">
        <v>0.0</v>
      </c>
      <c r="M50" s="189">
        <v>7.0</v>
      </c>
      <c r="N50" s="189">
        <v>0.0</v>
      </c>
      <c r="O50" s="189">
        <v>0.0</v>
      </c>
      <c r="P50" s="189">
        <v>1.0</v>
      </c>
      <c r="Q50" s="189">
        <v>1.0</v>
      </c>
      <c r="R50" s="189">
        <v>0.0</v>
      </c>
      <c r="S50" s="189">
        <v>0.0</v>
      </c>
      <c r="T50" s="189">
        <v>1754.0</v>
      </c>
      <c r="U50" s="130">
        <f t="shared" si="2"/>
        <v>0.5</v>
      </c>
      <c r="V50" s="130">
        <f t="shared" si="3"/>
        <v>0.5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3.0</v>
      </c>
      <c r="H51" s="189">
        <v>2.0</v>
      </c>
      <c r="I51" s="189">
        <v>1.0</v>
      </c>
      <c r="J51" s="189">
        <v>2.0</v>
      </c>
      <c r="K51" s="189">
        <v>1.0</v>
      </c>
      <c r="L51" s="189">
        <v>1.0</v>
      </c>
      <c r="M51" s="189">
        <v>0.0</v>
      </c>
      <c r="N51" s="189">
        <v>2.0</v>
      </c>
      <c r="O51" s="189">
        <v>1.0</v>
      </c>
      <c r="P51" s="189">
        <v>0.0</v>
      </c>
      <c r="Q51" s="189">
        <v>0.0</v>
      </c>
      <c r="R51" s="189">
        <v>0.0</v>
      </c>
      <c r="S51" s="189">
        <v>0.0</v>
      </c>
      <c r="T51" s="189">
        <v>1672.0</v>
      </c>
      <c r="U51" s="130">
        <f t="shared" si="2"/>
        <v>0.5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89">
        <v>0.0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89">
        <v>0.0</v>
      </c>
      <c r="H63" s="189">
        <v>0.0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89">
        <v>1.0</v>
      </c>
      <c r="H65" s="189">
        <v>1.0</v>
      </c>
      <c r="I65" s="189">
        <v>0.0</v>
      </c>
      <c r="J65" s="189">
        <v>1.0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89">
        <v>1.0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2857</v>
      </c>
      <c r="D2" s="10"/>
      <c r="E2" s="11">
        <f t="shared" ref="E2:R2" si="1">SUM(E5,E17,E20,E23,E26,E29)</f>
        <v>2857</v>
      </c>
      <c r="F2" s="11">
        <f t="shared" si="1"/>
        <v>37</v>
      </c>
      <c r="G2" s="11">
        <f t="shared" si="1"/>
        <v>11</v>
      </c>
      <c r="H2" s="11">
        <f t="shared" si="1"/>
        <v>2</v>
      </c>
      <c r="I2" s="11">
        <f t="shared" si="1"/>
        <v>1</v>
      </c>
      <c r="J2" s="11">
        <f t="shared" si="1"/>
        <v>1</v>
      </c>
      <c r="K2" s="11">
        <f t="shared" si="1"/>
        <v>2</v>
      </c>
      <c r="L2" s="11">
        <f t="shared" si="1"/>
        <v>0</v>
      </c>
      <c r="M2" s="11">
        <f t="shared" si="1"/>
        <v>38</v>
      </c>
      <c r="N2" s="11">
        <f t="shared" si="1"/>
        <v>7</v>
      </c>
      <c r="O2" s="11">
        <f t="shared" si="1"/>
        <v>1</v>
      </c>
      <c r="P2" s="11">
        <f t="shared" si="1"/>
        <v>4</v>
      </c>
      <c r="Q2" s="11">
        <f t="shared" si="1"/>
        <v>0</v>
      </c>
      <c r="R2" s="11">
        <f t="shared" si="1"/>
        <v>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1428.5</v>
      </c>
      <c r="F4" s="24">
        <f>IFERROR((G2+R2)/F2,0)</f>
        <v>0.4324324324</v>
      </c>
      <c r="G4" s="24">
        <f>IFERROR(H2/G2,0)</f>
        <v>0.1818181818</v>
      </c>
      <c r="H4" s="23">
        <f>(C2/C4)</f>
        <v>43.28787879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3.454545455</v>
      </c>
      <c r="N4" s="25"/>
      <c r="O4" s="24">
        <f>IFERROR(O2/N2,0)</f>
        <v>0.1428571429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2857</v>
      </c>
      <c r="D5" s="31"/>
      <c r="E5" s="32">
        <f>SUMIFS(T:T,A:A,B5,D:D,"Y")</f>
        <v>2857</v>
      </c>
      <c r="F5" s="11">
        <f>SUMIF(A:A,B5,G:G)</f>
        <v>37</v>
      </c>
      <c r="G5" s="11">
        <f>SUMIF(A:A,B5,H:H)</f>
        <v>10</v>
      </c>
      <c r="H5" s="11">
        <f>SUMIF(A:A,B5,I:I)</f>
        <v>2</v>
      </c>
      <c r="I5" s="11">
        <f>SUMIF(A:A,B5,P:P)</f>
        <v>1</v>
      </c>
      <c r="J5" s="11">
        <f>SUMIF(A:A,B5,Q:Q)</f>
        <v>1</v>
      </c>
      <c r="K5" s="11">
        <f>SUMIF(A:A,B5,R:R)</f>
        <v>2</v>
      </c>
      <c r="L5" s="11">
        <f>SUMIF(A:A,B5,S:S)</f>
        <v>0</v>
      </c>
      <c r="M5" s="11">
        <f>SUMIF(A:A,B5,M:M)</f>
        <v>36</v>
      </c>
      <c r="N5" s="11">
        <f>SUMIF(A:A,B5,N:N)</f>
        <v>6</v>
      </c>
      <c r="O5" s="11">
        <f>SUMIF(A:A,B5,O:O)</f>
        <v>1</v>
      </c>
      <c r="P5" s="11">
        <f>SUMIF(A:A,B5,J:J)</f>
        <v>4</v>
      </c>
      <c r="Q5" s="11">
        <f>SUMIF(A:A,B5,K:K)</f>
        <v>0</v>
      </c>
      <c r="R5" s="33">
        <f>SUMIF(A:A,B5,L:L)</f>
        <v>5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1428.5</v>
      </c>
      <c r="F7" s="41">
        <f>IFERROR((G5+R5)/F5,0)</f>
        <v>0.4054054054</v>
      </c>
      <c r="G7" s="41">
        <f>IFERROR(H5/G5,0)</f>
        <v>0.2</v>
      </c>
      <c r="H7" s="40">
        <f>(C5/C7)</f>
        <v>84.02941176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2.4</v>
      </c>
      <c r="N7" s="42"/>
      <c r="O7" s="41">
        <f>IFERROR(O5/N5,0)</f>
        <v>0.1666666667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15</v>
      </c>
      <c r="G8" s="51">
        <f>SUMIF(B28:B1137,B8,H28:H1137)</f>
        <v>4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2</v>
      </c>
      <c r="L8" s="51">
        <f>SUMIF(B28:B1137,B8,S28:S1137)</f>
        <v>0</v>
      </c>
      <c r="M8" s="51">
        <f>SUMIF(B28:B1137,B8,M28:M1137)</f>
        <v>27</v>
      </c>
      <c r="N8" s="51">
        <f>SUMIF(B28:B1137,B8,N28:N1137)</f>
        <v>3</v>
      </c>
      <c r="O8" s="51">
        <f>SUMIF(B28:B1137,B8,O28:O1137)</f>
        <v>0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3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0.4666666667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3.857142857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2857</v>
      </c>
      <c r="D11" s="48"/>
      <c r="E11" s="59">
        <f>SUMIFS(T:T,B:B,B11,D:D,"Y")</f>
        <v>2857</v>
      </c>
      <c r="F11" s="60">
        <f>SUMIF(B31:B1137,B11,G31:G1137)</f>
        <v>14</v>
      </c>
      <c r="G11" s="61">
        <f>SUMIF(B31:B1137,B11,H31:H1137)</f>
        <v>2</v>
      </c>
      <c r="H11" s="61">
        <f>SUMIF(B31:B1137,B11,I31:I1137)</f>
        <v>2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2</v>
      </c>
      <c r="N11" s="61">
        <f>SUMIF(B31:B1137,B11,N31:N1137)</f>
        <v>1</v>
      </c>
      <c r="O11" s="61">
        <f>SUMIF(B31:B1137,B11,O31:O1137)</f>
        <v>1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1428.5</v>
      </c>
      <c r="F13" s="24">
        <f>IFERROR((G11+R11)/F11,0)</f>
        <v>0.1428571429</v>
      </c>
      <c r="G13" s="24">
        <f>IFERROR(H11/G11,0)</f>
        <v>1</v>
      </c>
      <c r="H13" s="23">
        <f>(C11/C13)</f>
        <v>714.25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8</v>
      </c>
      <c r="G14" s="67">
        <f>SUMIF(B34:B1137,B14,H34:H1137)</f>
        <v>4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7</v>
      </c>
      <c r="N14" s="67">
        <f>SUMIF(B34:B1137,B14,N34:N1137)</f>
        <v>2</v>
      </c>
      <c r="O14" s="67">
        <f>SUMIF(B34:B1137,B14,O34:O1137)</f>
        <v>0</v>
      </c>
      <c r="P14" s="67">
        <f>SUMIF(B34:B1137,B14,J34:J1137)</f>
        <v>3</v>
      </c>
      <c r="Q14" s="67">
        <f>SUMIF(B34:B1137,B14,K34:K1137)</f>
        <v>0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0.75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1.166666667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2</v>
      </c>
      <c r="N23" s="11">
        <f>SUMIF(A:A,B23,N:N)</f>
        <v>1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2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1.0</v>
      </c>
      <c r="H37" s="189">
        <v>0.0</v>
      </c>
      <c r="I37" s="189">
        <v>0.0</v>
      </c>
      <c r="J37" s="189">
        <v>0.0</v>
      </c>
      <c r="K37" s="189">
        <v>0.0</v>
      </c>
      <c r="L37" s="189">
        <v>1.0</v>
      </c>
      <c r="M37" s="189">
        <v>5.0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1.0</v>
      </c>
      <c r="I38" s="189">
        <v>0.0</v>
      </c>
      <c r="J38" s="189">
        <v>1.0</v>
      </c>
      <c r="K38" s="189">
        <v>0.0</v>
      </c>
      <c r="L38" s="189">
        <v>1.0</v>
      </c>
      <c r="M38" s="189">
        <v>9.0</v>
      </c>
      <c r="N38" s="189">
        <v>1.0</v>
      </c>
      <c r="O38" s="189">
        <v>0.0</v>
      </c>
      <c r="P38" s="189">
        <v>0.0</v>
      </c>
      <c r="Q38" s="189">
        <v>0.0</v>
      </c>
      <c r="R38" s="189">
        <v>1.0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89">
        <v>0.0</v>
      </c>
      <c r="H40" s="189">
        <v>0.0</v>
      </c>
      <c r="I40" s="189">
        <v>0.0</v>
      </c>
      <c r="J40" s="189">
        <v>0.0</v>
      </c>
      <c r="K40" s="189">
        <v>0.0</v>
      </c>
      <c r="L40" s="189">
        <v>0.0</v>
      </c>
      <c r="M40" s="189">
        <v>0.0</v>
      </c>
      <c r="N40" s="189">
        <v>0.0</v>
      </c>
      <c r="O40" s="189">
        <v>0.0</v>
      </c>
      <c r="P40" s="189">
        <v>0.0</v>
      </c>
      <c r="Q40" s="189">
        <v>0.0</v>
      </c>
      <c r="R40" s="189">
        <v>0.0</v>
      </c>
      <c r="S40" s="189">
        <v>0.0</v>
      </c>
      <c r="T40" s="189">
        <v>0.0</v>
      </c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5.0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89">
        <v>0.0</v>
      </c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3.0</v>
      </c>
      <c r="H46" s="189">
        <v>1.0</v>
      </c>
      <c r="I46" s="189">
        <v>0.0</v>
      </c>
      <c r="J46" s="189">
        <v>0.0</v>
      </c>
      <c r="K46" s="189">
        <v>0.0</v>
      </c>
      <c r="L46" s="189">
        <v>1.0</v>
      </c>
      <c r="M46" s="189">
        <v>5.0</v>
      </c>
      <c r="N46" s="189">
        <v>0.0</v>
      </c>
      <c r="O46" s="189">
        <v>0.0</v>
      </c>
      <c r="P46" s="189">
        <v>0.0</v>
      </c>
      <c r="Q46" s="189">
        <v>0.0</v>
      </c>
      <c r="R46" s="189">
        <v>1.0</v>
      </c>
      <c r="S46" s="189">
        <v>0.0</v>
      </c>
      <c r="T46" s="189">
        <v>0.0</v>
      </c>
      <c r="U46" s="130">
        <f t="shared" si="2"/>
        <v>0</v>
      </c>
      <c r="V46" s="130">
        <f t="shared" si="3"/>
        <v>0.6666666667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2.0</v>
      </c>
      <c r="H47" s="189">
        <v>2.0</v>
      </c>
      <c r="I47" s="189">
        <v>0.0</v>
      </c>
      <c r="J47" s="189">
        <v>0.0</v>
      </c>
      <c r="K47" s="189">
        <v>0.0</v>
      </c>
      <c r="L47" s="189">
        <v>0.0</v>
      </c>
      <c r="M47" s="189">
        <v>8.0</v>
      </c>
      <c r="N47" s="189">
        <v>2.0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30">
        <f t="shared" si="2"/>
        <v>0</v>
      </c>
      <c r="V47" s="130">
        <f t="shared" si="3"/>
        <v>1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10.0</v>
      </c>
      <c r="H49" s="189">
        <v>0.0</v>
      </c>
      <c r="I49" s="189">
        <v>0.0</v>
      </c>
      <c r="J49" s="189">
        <v>0.0</v>
      </c>
      <c r="K49" s="189">
        <v>0.0</v>
      </c>
      <c r="L49" s="189">
        <v>0.0</v>
      </c>
      <c r="M49" s="189">
        <v>0.0</v>
      </c>
      <c r="N49" s="189">
        <v>0.0</v>
      </c>
      <c r="O49" s="189">
        <v>0.0</v>
      </c>
      <c r="P49" s="189">
        <v>0.0</v>
      </c>
      <c r="Q49" s="189">
        <v>0.0</v>
      </c>
      <c r="R49" s="189">
        <v>0.0</v>
      </c>
      <c r="S49" s="189">
        <v>0.0</v>
      </c>
      <c r="T49" s="189">
        <v>0.0</v>
      </c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4.0</v>
      </c>
      <c r="H50" s="189">
        <v>2.0</v>
      </c>
      <c r="I50" s="189">
        <v>2.0</v>
      </c>
      <c r="J50" s="189">
        <v>0.0</v>
      </c>
      <c r="K50" s="189">
        <v>0.0</v>
      </c>
      <c r="L50" s="189">
        <v>0.0</v>
      </c>
      <c r="M50" s="189">
        <v>2.0</v>
      </c>
      <c r="N50" s="189">
        <v>1.0</v>
      </c>
      <c r="O50" s="189">
        <v>1.0</v>
      </c>
      <c r="P50" s="189">
        <v>1.0</v>
      </c>
      <c r="Q50" s="189">
        <v>1.0</v>
      </c>
      <c r="R50" s="189">
        <v>0.0</v>
      </c>
      <c r="S50" s="189">
        <v>0.0</v>
      </c>
      <c r="T50" s="189">
        <v>2857.0</v>
      </c>
      <c r="U50" s="130">
        <f t="shared" si="2"/>
        <v>1</v>
      </c>
      <c r="V50" s="130">
        <f t="shared" si="3"/>
        <v>0.5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89">
        <v>2.0</v>
      </c>
      <c r="H54" s="189">
        <v>1.0</v>
      </c>
      <c r="I54" s="189">
        <v>0.0</v>
      </c>
      <c r="J54" s="189">
        <v>1.0</v>
      </c>
      <c r="K54" s="189">
        <v>0.0</v>
      </c>
      <c r="L54" s="189">
        <v>1.0</v>
      </c>
      <c r="M54" s="189">
        <v>3.0</v>
      </c>
      <c r="N54" s="189">
        <v>1.0</v>
      </c>
      <c r="O54" s="189">
        <v>0.0</v>
      </c>
      <c r="P54" s="189">
        <v>0.0</v>
      </c>
      <c r="Q54" s="189">
        <v>0.0</v>
      </c>
      <c r="R54" s="189">
        <v>0.0</v>
      </c>
      <c r="S54" s="189">
        <v>0.0</v>
      </c>
      <c r="T54" s="189">
        <v>0.0</v>
      </c>
      <c r="U54" s="130">
        <f t="shared" si="2"/>
        <v>0</v>
      </c>
      <c r="V54" s="130">
        <f t="shared" si="3"/>
        <v>1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89">
        <v>2.0</v>
      </c>
      <c r="H58" s="189">
        <v>2.0</v>
      </c>
      <c r="I58" s="189">
        <v>0.0</v>
      </c>
      <c r="J58" s="189">
        <v>2.0</v>
      </c>
      <c r="K58" s="189">
        <v>0.0</v>
      </c>
      <c r="L58" s="189">
        <v>0.0</v>
      </c>
      <c r="M58" s="189">
        <v>4.0</v>
      </c>
      <c r="N58" s="189">
        <v>0.0</v>
      </c>
      <c r="O58" s="189">
        <v>0.0</v>
      </c>
      <c r="P58" s="189">
        <v>0.0</v>
      </c>
      <c r="Q58" s="189">
        <v>0.0</v>
      </c>
      <c r="R58" s="189">
        <v>0.0</v>
      </c>
      <c r="S58" s="189">
        <v>0.0</v>
      </c>
      <c r="T58" s="189">
        <v>0.0</v>
      </c>
      <c r="U58" s="130">
        <f t="shared" si="2"/>
        <v>0</v>
      </c>
      <c r="V58" s="130">
        <f t="shared" si="3"/>
        <v>1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89">
        <v>2.0</v>
      </c>
      <c r="H61" s="189">
        <v>1.0</v>
      </c>
      <c r="I61" s="189">
        <v>0.0</v>
      </c>
      <c r="J61" s="189">
        <v>0.0</v>
      </c>
      <c r="K61" s="189">
        <v>0.0</v>
      </c>
      <c r="L61" s="189">
        <v>1.0</v>
      </c>
      <c r="M61" s="189">
        <v>0.0</v>
      </c>
      <c r="N61" s="189">
        <v>1.0</v>
      </c>
      <c r="O61" s="189">
        <v>0.0</v>
      </c>
      <c r="P61" s="189">
        <v>0.0</v>
      </c>
      <c r="Q61" s="189">
        <v>0.0</v>
      </c>
      <c r="R61" s="189">
        <v>0.0</v>
      </c>
      <c r="S61" s="189">
        <v>0.0</v>
      </c>
      <c r="T61" s="189">
        <v>0.0</v>
      </c>
      <c r="U61" s="130">
        <f t="shared" si="2"/>
        <v>0</v>
      </c>
      <c r="V61" s="130">
        <f t="shared" si="3"/>
        <v>1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89">
        <v>0.0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89">
        <v>0.0</v>
      </c>
      <c r="H63" s="189">
        <v>0.0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89">
        <v>2.0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89">
        <v>0.0</v>
      </c>
      <c r="H86" s="189">
        <v>1.0</v>
      </c>
      <c r="I86" s="189">
        <v>0.0</v>
      </c>
      <c r="J86" s="189">
        <v>0.0</v>
      </c>
      <c r="K86" s="189">
        <v>0.0</v>
      </c>
      <c r="L86" s="189">
        <v>0.0</v>
      </c>
      <c r="M86" s="189">
        <v>2.0</v>
      </c>
      <c r="N86" s="189">
        <v>1.0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11348</v>
      </c>
      <c r="D2" s="10"/>
      <c r="E2" s="11">
        <f t="shared" ref="E2:R2" si="1">SUM(E5,E17,E20,E23,E26,E29)</f>
        <v>11348</v>
      </c>
      <c r="F2" s="11">
        <f t="shared" si="1"/>
        <v>18</v>
      </c>
      <c r="G2" s="11">
        <f t="shared" si="1"/>
        <v>7</v>
      </c>
      <c r="H2" s="11">
        <f t="shared" si="1"/>
        <v>6</v>
      </c>
      <c r="I2" s="11">
        <f t="shared" si="1"/>
        <v>3</v>
      </c>
      <c r="J2" s="11">
        <f t="shared" si="1"/>
        <v>2</v>
      </c>
      <c r="K2" s="11">
        <f t="shared" si="1"/>
        <v>0</v>
      </c>
      <c r="L2" s="11">
        <f t="shared" si="1"/>
        <v>0</v>
      </c>
      <c r="M2" s="11">
        <f t="shared" si="1"/>
        <v>16</v>
      </c>
      <c r="N2" s="11">
        <f t="shared" si="1"/>
        <v>4</v>
      </c>
      <c r="O2" s="11">
        <f t="shared" si="1"/>
        <v>4</v>
      </c>
      <c r="P2" s="11">
        <f t="shared" si="1"/>
        <v>3</v>
      </c>
      <c r="Q2" s="11">
        <f t="shared" si="1"/>
        <v>3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1891.333333</v>
      </c>
      <c r="F4" s="24">
        <f>IFERROR((G2+R2)/F2,0)</f>
        <v>0.5555555556</v>
      </c>
      <c r="G4" s="24">
        <f>IFERROR(H2/G2,0)</f>
        <v>0.8571428571</v>
      </c>
      <c r="H4" s="23">
        <f>(C2/C4)</f>
        <v>171.9393939</v>
      </c>
      <c r="I4" s="25"/>
      <c r="J4" s="24">
        <f>IFERROR(J2/I2,0)</f>
        <v>0.6666666667</v>
      </c>
      <c r="K4" s="25"/>
      <c r="L4" s="24">
        <f>IFERROR(L2/K2,0)</f>
        <v>0</v>
      </c>
      <c r="M4" s="26">
        <f>IFERROR(M2/G2,0)</f>
        <v>2.285714286</v>
      </c>
      <c r="N4" s="25"/>
      <c r="O4" s="24">
        <f>IFERROR(O2/N2,0)</f>
        <v>1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11348</v>
      </c>
      <c r="D5" s="31"/>
      <c r="E5" s="32">
        <f>SUMIFS(T:T,A:A,B5,D:D,"Y")</f>
        <v>11348</v>
      </c>
      <c r="F5" s="11">
        <f>SUMIF(A:A,B5,G:G)</f>
        <v>18</v>
      </c>
      <c r="G5" s="11">
        <f>SUMIF(A:A,B5,H:H)</f>
        <v>7</v>
      </c>
      <c r="H5" s="11">
        <f>SUMIF(A:A,B5,I:I)</f>
        <v>6</v>
      </c>
      <c r="I5" s="11">
        <f>SUMIF(A:A,B5,P:P)</f>
        <v>3</v>
      </c>
      <c r="J5" s="11">
        <f>SUMIF(A:A,B5,Q:Q)</f>
        <v>2</v>
      </c>
      <c r="K5" s="11">
        <f>SUMIF(A:A,B5,R:R)</f>
        <v>0</v>
      </c>
      <c r="L5" s="11">
        <f>SUMIF(A:A,B5,S:S)</f>
        <v>0</v>
      </c>
      <c r="M5" s="11">
        <f>SUMIF(A:A,B5,M:M)</f>
        <v>16</v>
      </c>
      <c r="N5" s="11">
        <f>SUMIF(A:A,B5,N:N)</f>
        <v>4</v>
      </c>
      <c r="O5" s="11">
        <f>SUMIF(A:A,B5,O:O)</f>
        <v>4</v>
      </c>
      <c r="P5" s="11">
        <f>SUMIF(A:A,B5,J:J)</f>
        <v>3</v>
      </c>
      <c r="Q5" s="11">
        <f>SUMIF(A:A,B5,K:K)</f>
        <v>3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1891.333333</v>
      </c>
      <c r="F7" s="41">
        <f>IFERROR((G5+R5)/F5,0)</f>
        <v>0.5555555556</v>
      </c>
      <c r="G7" s="41">
        <f>IFERROR(H5/G5,0)</f>
        <v>0.8571428571</v>
      </c>
      <c r="H7" s="40">
        <f>(C5/C7)</f>
        <v>333.7647059</v>
      </c>
      <c r="I7" s="42"/>
      <c r="J7" s="41">
        <f>IFERROR(J5/I5,0)</f>
        <v>0.6666666667</v>
      </c>
      <c r="K7" s="42"/>
      <c r="L7" s="41">
        <f>IFERROR(L5/K5,0)</f>
        <v>0</v>
      </c>
      <c r="M7" s="43">
        <f>IFERROR(M5/SUM(R5+G5,0),"")</f>
        <v>1.6</v>
      </c>
      <c r="N7" s="42"/>
      <c r="O7" s="41">
        <f>IFERROR(O5/N5,0)</f>
        <v>1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756</v>
      </c>
      <c r="D8" s="48"/>
      <c r="E8" s="49">
        <f>SUMIFS(T:T,B:B,B8,D:D,"Y")</f>
        <v>756</v>
      </c>
      <c r="F8" s="50">
        <f>SUMIF(B28:B1137,B8,G28:G1137)</f>
        <v>2</v>
      </c>
      <c r="G8" s="51">
        <f>SUMIF(B28:B1137,B8,H28:H1137)</f>
        <v>2</v>
      </c>
      <c r="H8" s="51">
        <f>SUMIF(B28:B1137,B8,I28:I1137)</f>
        <v>1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6</v>
      </c>
      <c r="N8" s="51">
        <f>SUMIF(B28:B1137,B8,N28:N1137)</f>
        <v>1</v>
      </c>
      <c r="O8" s="51">
        <f>SUMIF(B28:B1137,B8,O28:O1137)</f>
        <v>1</v>
      </c>
      <c r="P8" s="51">
        <f>SUMIF(B28:B1137,B8,J28:J1137)</f>
        <v>1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756</v>
      </c>
      <c r="F10" s="24">
        <f>IFERROR((G8+R8)/F8,0)</f>
        <v>1.5</v>
      </c>
      <c r="G10" s="24">
        <f>IFERROR(H8/G8,0)</f>
        <v>0.5</v>
      </c>
      <c r="H10" s="23">
        <f>(C8/C10)</f>
        <v>54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</v>
      </c>
      <c r="N10" s="25"/>
      <c r="O10" s="24">
        <f>IFERROR(O8/N8,0)</f>
        <v>1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10592</v>
      </c>
      <c r="D11" s="48"/>
      <c r="E11" s="59">
        <f>SUMIFS(T:T,B:B,B11,D:D,"Y")</f>
        <v>10592</v>
      </c>
      <c r="F11" s="60">
        <f>SUMIF(B31:B1137,B11,G31:G1137)</f>
        <v>15</v>
      </c>
      <c r="G11" s="61">
        <f>SUMIF(B31:B1137,B11,H31:H1137)</f>
        <v>5</v>
      </c>
      <c r="H11" s="61">
        <f>SUMIF(B31:B1137,B11,I31:I1137)</f>
        <v>5</v>
      </c>
      <c r="I11" s="61">
        <f>SUMIF(B31:B1137,B11,P31:P1137)</f>
        <v>3</v>
      </c>
      <c r="J11" s="61">
        <f>SUMIF(B31:B1137,B11,Q31:Q1137)</f>
        <v>2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10</v>
      </c>
      <c r="N11" s="61">
        <f>SUMIF(B31:B1137,B11,N31:N1137)</f>
        <v>3</v>
      </c>
      <c r="O11" s="61">
        <f>SUMIF(B31:B1137,B11,O31:O1137)</f>
        <v>3</v>
      </c>
      <c r="P11" s="61">
        <f>SUMIF(B31:B1137,B11,J31:J1137)</f>
        <v>2</v>
      </c>
      <c r="Q11" s="61">
        <f>SUMIF(B31:B1137,B11,K31:K1137)</f>
        <v>2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2118.4</v>
      </c>
      <c r="F13" s="24">
        <f>IFERROR((G11+R11)/F11,0)</f>
        <v>0.4</v>
      </c>
      <c r="G13" s="24">
        <f>IFERROR(H11/G11,0)</f>
        <v>1</v>
      </c>
      <c r="H13" s="23">
        <f>(C11/C13)</f>
        <v>2648</v>
      </c>
      <c r="I13" s="25"/>
      <c r="J13" s="24">
        <f>IFERROR(J11/I11,0)</f>
        <v>0.6666666667</v>
      </c>
      <c r="K13" s="25"/>
      <c r="L13" s="24">
        <f>IFERROR(L11/K11,0)</f>
        <v>0</v>
      </c>
      <c r="M13" s="26">
        <f>IFERROR(M11/SUM(R11+G11,0),"")</f>
        <v>1.666666667</v>
      </c>
      <c r="N13" s="25"/>
      <c r="O13" s="24">
        <f>IFERROR(O11/N11,0)</f>
        <v>1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1.0</v>
      </c>
      <c r="H37" s="189">
        <v>1.0</v>
      </c>
      <c r="I37" s="189">
        <v>0.0</v>
      </c>
      <c r="J37" s="189">
        <v>0.0</v>
      </c>
      <c r="K37" s="189">
        <v>0.0</v>
      </c>
      <c r="L37" s="189">
        <v>1.0</v>
      </c>
      <c r="M37" s="189">
        <v>0.0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2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1.0</v>
      </c>
      <c r="H43" s="189">
        <v>1.0</v>
      </c>
      <c r="I43" s="189">
        <v>1.0</v>
      </c>
      <c r="J43" s="189">
        <v>1.0</v>
      </c>
      <c r="K43" s="189">
        <v>1.0</v>
      </c>
      <c r="L43" s="189">
        <v>0.0</v>
      </c>
      <c r="M43" s="189">
        <v>6.0</v>
      </c>
      <c r="N43" s="189">
        <v>1.0</v>
      </c>
      <c r="O43" s="189">
        <v>1.0</v>
      </c>
      <c r="P43" s="189">
        <v>0.0</v>
      </c>
      <c r="Q43" s="189">
        <v>0.0</v>
      </c>
      <c r="R43" s="189">
        <v>0.0</v>
      </c>
      <c r="S43" s="189">
        <v>0.0</v>
      </c>
      <c r="T43" s="189">
        <v>756.0</v>
      </c>
      <c r="U43" s="130">
        <f t="shared" si="2"/>
        <v>1</v>
      </c>
      <c r="V43" s="130">
        <f t="shared" si="3"/>
        <v>1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0.0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0.0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9.0</v>
      </c>
      <c r="H49" s="189">
        <v>2.0</v>
      </c>
      <c r="I49" s="189">
        <v>2.0</v>
      </c>
      <c r="J49" s="189">
        <v>1.0</v>
      </c>
      <c r="K49" s="189">
        <v>1.0</v>
      </c>
      <c r="L49" s="189">
        <v>1.0</v>
      </c>
      <c r="M49" s="189">
        <v>5.0</v>
      </c>
      <c r="N49" s="189">
        <v>1.0</v>
      </c>
      <c r="O49" s="189">
        <v>1.0</v>
      </c>
      <c r="P49" s="189">
        <v>2.0</v>
      </c>
      <c r="Q49" s="189">
        <v>1.0</v>
      </c>
      <c r="R49" s="189">
        <v>0.0</v>
      </c>
      <c r="S49" s="189">
        <v>0.0</v>
      </c>
      <c r="T49" s="189">
        <v>5004.0</v>
      </c>
      <c r="U49" s="130">
        <f t="shared" si="2"/>
        <v>1</v>
      </c>
      <c r="V49" s="130">
        <f t="shared" si="3"/>
        <v>0.3333333333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6.0</v>
      </c>
      <c r="H50" s="189">
        <v>3.0</v>
      </c>
      <c r="I50" s="189">
        <v>3.0</v>
      </c>
      <c r="J50" s="189">
        <v>1.0</v>
      </c>
      <c r="K50" s="189">
        <v>1.0</v>
      </c>
      <c r="L50" s="189">
        <v>0.0</v>
      </c>
      <c r="M50" s="189">
        <v>5.0</v>
      </c>
      <c r="N50" s="189">
        <v>2.0</v>
      </c>
      <c r="O50" s="189">
        <v>2.0</v>
      </c>
      <c r="P50" s="189">
        <v>1.0</v>
      </c>
      <c r="Q50" s="189">
        <v>1.0</v>
      </c>
      <c r="R50" s="189">
        <v>0.0</v>
      </c>
      <c r="S50" s="189">
        <v>0.0</v>
      </c>
      <c r="T50" s="189">
        <v>5588.0</v>
      </c>
      <c r="U50" s="130">
        <f t="shared" si="2"/>
        <v>1</v>
      </c>
      <c r="V50" s="130">
        <f t="shared" si="3"/>
        <v>0.5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v>0.0</v>
      </c>
      <c r="H63" s="110">
        <v>0.0</v>
      </c>
      <c r="I63" s="110">
        <v>0.0</v>
      </c>
      <c r="J63" s="110">
        <v>0.0</v>
      </c>
      <c r="K63" s="110">
        <v>0.0</v>
      </c>
      <c r="L63" s="110">
        <v>0.0</v>
      </c>
      <c r="M63" s="110">
        <v>0.0</v>
      </c>
      <c r="N63" s="110">
        <v>0.0</v>
      </c>
      <c r="O63" s="110">
        <v>0.0</v>
      </c>
      <c r="P63" s="110">
        <v>0.0</v>
      </c>
      <c r="Q63" s="110">
        <v>0.0</v>
      </c>
      <c r="R63" s="110">
        <v>0.0</v>
      </c>
      <c r="S63" s="110">
        <v>0.0</v>
      </c>
      <c r="T63" s="110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89">
        <v>1.0</v>
      </c>
      <c r="H65" s="189">
        <v>0.0</v>
      </c>
      <c r="I65" s="110">
        <v>0.0</v>
      </c>
      <c r="J65" s="110">
        <v>0.0</v>
      </c>
      <c r="K65" s="110">
        <v>0.0</v>
      </c>
      <c r="L65" s="189">
        <v>1.0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2</v>
      </c>
      <c r="G2" s="11">
        <f t="shared" si="1"/>
        <v>2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5</v>
      </c>
      <c r="N2" s="11">
        <f t="shared" si="1"/>
        <v>1</v>
      </c>
      <c r="O2" s="11">
        <f t="shared" si="1"/>
        <v>0</v>
      </c>
      <c r="P2" s="11">
        <f t="shared" si="1"/>
        <v>2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1.5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2.5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2</v>
      </c>
      <c r="G5" s="11">
        <f>SUMIF(A:A,B5,H:H)</f>
        <v>2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5</v>
      </c>
      <c r="N5" s="11">
        <f>SUMIF(A:A,B5,N:N)</f>
        <v>1</v>
      </c>
      <c r="O5" s="11">
        <f>SUMIF(A:A,B5,O:O)</f>
        <v>0</v>
      </c>
      <c r="P5" s="11">
        <f>SUMIF(A:A,B5,J:J)</f>
        <v>2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1.5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2</v>
      </c>
      <c r="G11" s="61">
        <f>SUMIF(B31:B1137,B11,H31:H1137)</f>
        <v>2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1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1</v>
      </c>
      <c r="O11" s="61">
        <f>SUMIF(B31:B1137,B11,O31:O1137)</f>
        <v>0</v>
      </c>
      <c r="P11" s="61">
        <f>SUMIF(B31:B1137,B11,J31:J1137)</f>
        <v>2</v>
      </c>
      <c r="Q11" s="61">
        <f>SUMIF(B31:B1137,B11,K31:K1137)</f>
        <v>0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1.5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1.666666667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0.0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89">
        <v>0.0</v>
      </c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0.0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0.0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2.0</v>
      </c>
      <c r="H51" s="189">
        <v>2.0</v>
      </c>
      <c r="I51" s="189">
        <v>0.0</v>
      </c>
      <c r="J51" s="189">
        <v>2.0</v>
      </c>
      <c r="K51" s="189">
        <v>0.0</v>
      </c>
      <c r="L51" s="189">
        <v>1.0</v>
      </c>
      <c r="M51" s="189">
        <v>5.0</v>
      </c>
      <c r="N51" s="189">
        <v>1.0</v>
      </c>
      <c r="O51" s="189">
        <v>0.0</v>
      </c>
      <c r="P51" s="189">
        <v>0.0</v>
      </c>
      <c r="Q51" s="189">
        <v>0.0</v>
      </c>
      <c r="R51" s="189">
        <v>1.0</v>
      </c>
      <c r="S51" s="189">
        <v>0.0</v>
      </c>
      <c r="T51" s="189">
        <v>0.0</v>
      </c>
      <c r="U51" s="130">
        <f t="shared" si="2"/>
        <v>0</v>
      </c>
      <c r="V51" s="130">
        <f t="shared" si="3"/>
        <v>1.5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v>0.0</v>
      </c>
      <c r="H63" s="110">
        <v>0.0</v>
      </c>
      <c r="I63" s="110">
        <v>0.0</v>
      </c>
      <c r="J63" s="110">
        <v>0.0</v>
      </c>
      <c r="K63" s="110">
        <v>0.0</v>
      </c>
      <c r="L63" s="110">
        <v>0.0</v>
      </c>
      <c r="M63" s="110">
        <v>0.0</v>
      </c>
      <c r="N63" s="110">
        <v>0.0</v>
      </c>
      <c r="O63" s="110">
        <v>0.0</v>
      </c>
      <c r="P63" s="110">
        <v>0.0</v>
      </c>
      <c r="Q63" s="110">
        <v>0.0</v>
      </c>
      <c r="R63" s="110">
        <v>0.0</v>
      </c>
      <c r="S63" s="110">
        <v>0.0</v>
      </c>
      <c r="T63" s="110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>
        <v>0.0</v>
      </c>
      <c r="H65" s="110">
        <v>0.0</v>
      </c>
      <c r="I65" s="110">
        <v>0.0</v>
      </c>
      <c r="J65" s="110">
        <v>0.0</v>
      </c>
      <c r="K65" s="110">
        <v>0.0</v>
      </c>
      <c r="L65" s="110">
        <v>0.0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7392</v>
      </c>
      <c r="D2" s="10"/>
      <c r="E2" s="11">
        <f t="shared" ref="E2:R2" si="1">SUM(E5,E17,E20,E23,E26,E29)</f>
        <v>5674</v>
      </c>
      <c r="F2" s="11">
        <f t="shared" si="1"/>
        <v>37</v>
      </c>
      <c r="G2" s="11">
        <f t="shared" si="1"/>
        <v>18</v>
      </c>
      <c r="H2" s="11">
        <f t="shared" si="1"/>
        <v>5</v>
      </c>
      <c r="I2" s="11">
        <f t="shared" si="1"/>
        <v>4</v>
      </c>
      <c r="J2" s="11">
        <f t="shared" si="1"/>
        <v>2</v>
      </c>
      <c r="K2" s="11">
        <f t="shared" si="1"/>
        <v>6</v>
      </c>
      <c r="L2" s="11">
        <f t="shared" si="1"/>
        <v>1</v>
      </c>
      <c r="M2" s="11">
        <f t="shared" si="1"/>
        <v>43</v>
      </c>
      <c r="N2" s="11">
        <f t="shared" si="1"/>
        <v>7</v>
      </c>
      <c r="O2" s="11">
        <f t="shared" si="1"/>
        <v>4</v>
      </c>
      <c r="P2" s="11">
        <f t="shared" si="1"/>
        <v>8</v>
      </c>
      <c r="Q2" s="11">
        <f t="shared" si="1"/>
        <v>4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1478.4</v>
      </c>
      <c r="F4" s="24">
        <f>IFERROR((G2+R2)/F2,0)</f>
        <v>0.5675675676</v>
      </c>
      <c r="G4" s="24">
        <f>IFERROR(H2/G2,0)</f>
        <v>0.2777777778</v>
      </c>
      <c r="H4" s="23">
        <f>(C2/C4)</f>
        <v>112</v>
      </c>
      <c r="I4" s="25"/>
      <c r="J4" s="24">
        <f>IFERROR(J2/I2,0)</f>
        <v>0.5</v>
      </c>
      <c r="K4" s="25"/>
      <c r="L4" s="24">
        <f>IFERROR(L2/K2,0)</f>
        <v>0.1666666667</v>
      </c>
      <c r="M4" s="26">
        <f>IFERROR(M2/G2,0)</f>
        <v>2.388888889</v>
      </c>
      <c r="N4" s="25"/>
      <c r="O4" s="24">
        <f>IFERROR(O2/N2,0)</f>
        <v>0.5714285714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7392</v>
      </c>
      <c r="D5" s="31"/>
      <c r="E5" s="32">
        <f>SUMIFS(T:T,A:A,B5,D:D,"Y")</f>
        <v>5674</v>
      </c>
      <c r="F5" s="11">
        <f>SUMIF(A:A,B5,G:G)</f>
        <v>37</v>
      </c>
      <c r="G5" s="11">
        <f>SUMIF(A:A,B5,H:H)</f>
        <v>17</v>
      </c>
      <c r="H5" s="11">
        <f>SUMIF(A:A,B5,I:I)</f>
        <v>5</v>
      </c>
      <c r="I5" s="11">
        <f>SUMIF(A:A,B5,P:P)</f>
        <v>4</v>
      </c>
      <c r="J5" s="11">
        <f>SUMIF(A:A,B5,Q:Q)</f>
        <v>2</v>
      </c>
      <c r="K5" s="11">
        <f>SUMIF(A:A,B5,R:R)</f>
        <v>5</v>
      </c>
      <c r="L5" s="11">
        <f>SUMIF(A:A,B5,S:S)</f>
        <v>1</v>
      </c>
      <c r="M5" s="11">
        <f>SUMIF(A:A,B5,M:M)</f>
        <v>40</v>
      </c>
      <c r="N5" s="11">
        <f>SUMIF(A:A,B5,N:N)</f>
        <v>7</v>
      </c>
      <c r="O5" s="11">
        <f>SUMIF(A:A,B5,O:O)</f>
        <v>4</v>
      </c>
      <c r="P5" s="11">
        <f>SUMIF(A:A,B5,J:J)</f>
        <v>7</v>
      </c>
      <c r="Q5" s="11">
        <f>SUMIF(A:A,B5,K:K)</f>
        <v>4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1478.4</v>
      </c>
      <c r="F7" s="41">
        <f>IFERROR((G5+R5)/F5,0)</f>
        <v>0.5405405405</v>
      </c>
      <c r="G7" s="41">
        <f>IFERROR(H5/G5,0)</f>
        <v>0.2941176471</v>
      </c>
      <c r="H7" s="40">
        <f>(C5/C7)</f>
        <v>217.4117647</v>
      </c>
      <c r="I7" s="42"/>
      <c r="J7" s="41">
        <f>IFERROR(J5/I5,0)</f>
        <v>0.5</v>
      </c>
      <c r="K7" s="42"/>
      <c r="L7" s="41">
        <f>IFERROR(L5/K5,0)</f>
        <v>0.2</v>
      </c>
      <c r="M7" s="43">
        <f>IFERROR(M5/SUM(R5+G5,0),"")</f>
        <v>2</v>
      </c>
      <c r="N7" s="42"/>
      <c r="O7" s="41">
        <f>IFERROR(O5/N5,0)</f>
        <v>0.5714285714</v>
      </c>
      <c r="P7" s="43"/>
      <c r="Q7" s="41">
        <f>IFERROR(Q5/P5,0)</f>
        <v>0.5714285714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3102</v>
      </c>
      <c r="D8" s="48"/>
      <c r="E8" s="49">
        <f>SUMIFS(T:T,B:B,B8,D:D,"Y")</f>
        <v>3102</v>
      </c>
      <c r="F8" s="50">
        <f>SUMIF(B28:B1137,B8,G28:G1137)</f>
        <v>17</v>
      </c>
      <c r="G8" s="51">
        <f>SUMIF(B28:B1137,B8,H28:H1137)</f>
        <v>8</v>
      </c>
      <c r="H8" s="51">
        <f>SUMIF(B28:B1137,B8,I28:I1137)</f>
        <v>2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3</v>
      </c>
      <c r="L8" s="51">
        <f>SUMIF(B28:B1137,B8,S28:S1137)</f>
        <v>0</v>
      </c>
      <c r="M8" s="51">
        <f>SUMIF(B28:B1137,B8,M28:M1137)</f>
        <v>21</v>
      </c>
      <c r="N8" s="51">
        <f>SUMIF(B28:B1137,B8,N28:N1137)</f>
        <v>4</v>
      </c>
      <c r="O8" s="51">
        <f>SUMIF(B28:B1137,B8,O28:O1137)</f>
        <v>2</v>
      </c>
      <c r="P8" s="51">
        <f>SUMIF(B28:B1137,B8,J28:J1137)</f>
        <v>3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1551</v>
      </c>
      <c r="F10" s="24">
        <f>IFERROR((G8+R8)/F8,0)</f>
        <v>0.5294117647</v>
      </c>
      <c r="G10" s="24">
        <f>IFERROR(H8/G8,0)</f>
        <v>0.25</v>
      </c>
      <c r="H10" s="23">
        <f>(C8/C10)</f>
        <v>221.5714286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2.333333333</v>
      </c>
      <c r="N10" s="25"/>
      <c r="O10" s="24">
        <f>IFERROR(O8/N8,0)</f>
        <v>0.5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4290</v>
      </c>
      <c r="D11" s="48"/>
      <c r="E11" s="59">
        <f>SUMIFS(T:T,B:B,B11,D:D,"Y")</f>
        <v>2572</v>
      </c>
      <c r="F11" s="60">
        <f>SUMIF(B31:B1137,B11,G31:G1137)</f>
        <v>17</v>
      </c>
      <c r="G11" s="61">
        <f>SUMIF(B31:B1137,B11,H31:H1137)</f>
        <v>9</v>
      </c>
      <c r="H11" s="61">
        <f>SUMIF(B31:B1137,B11,I31:I1137)</f>
        <v>3</v>
      </c>
      <c r="I11" s="61">
        <f>SUMIF(B31:B1137,B11,P31:P1137)</f>
        <v>4</v>
      </c>
      <c r="J11" s="61">
        <f>SUMIF(B31:B1137,B11,Q31:Q1137)</f>
        <v>2</v>
      </c>
      <c r="K11" s="61">
        <f>SUMIF(B31:B1137,B11,R31:R1137)</f>
        <v>2</v>
      </c>
      <c r="L11" s="61">
        <f>SUMIF(B31:B1137,B11,S31:S1137)</f>
        <v>1</v>
      </c>
      <c r="M11" s="61">
        <f>SUMIF(B31:B1137,B11,M31:M1137)</f>
        <v>19</v>
      </c>
      <c r="N11" s="61">
        <f>SUMIF(B31:B1137,B11,N31:N1137)</f>
        <v>3</v>
      </c>
      <c r="O11" s="61">
        <f>SUMIF(B31:B1137,B11,O31:O1137)</f>
        <v>2</v>
      </c>
      <c r="P11" s="61">
        <f>SUMIF(B31:B1137,B11,J31:J1137)</f>
        <v>4</v>
      </c>
      <c r="Q11" s="61">
        <f>SUMIF(B31:B1137,B11,K31:K1137)</f>
        <v>2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1430</v>
      </c>
      <c r="F13" s="24">
        <f>IFERROR((G11+R11)/F11,0)</f>
        <v>0.5294117647</v>
      </c>
      <c r="G13" s="24">
        <f>IFERROR(H11/G11,0)</f>
        <v>0.3333333333</v>
      </c>
      <c r="H13" s="23">
        <f>(C11/C13)</f>
        <v>1072.5</v>
      </c>
      <c r="I13" s="25"/>
      <c r="J13" s="24">
        <f>IFERROR(J11/I11,0)</f>
        <v>0.5</v>
      </c>
      <c r="K13" s="25"/>
      <c r="L13" s="24">
        <f>IFERROR(L11/K11,0)</f>
        <v>0.5</v>
      </c>
      <c r="M13" s="26">
        <f>IFERROR(M11/SUM(R11+G11,0),"")</f>
        <v>2.111111111</v>
      </c>
      <c r="N13" s="25"/>
      <c r="O13" s="24">
        <f>IFERROR(O11/N11,0)</f>
        <v>0.6666666667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3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2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0.6666666667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3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3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3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0.0</v>
      </c>
      <c r="H37" s="189">
        <v>1.0</v>
      </c>
      <c r="I37" s="189">
        <v>0.0</v>
      </c>
      <c r="J37" s="189">
        <v>1.0</v>
      </c>
      <c r="K37" s="189">
        <v>0.0</v>
      </c>
      <c r="L37" s="189">
        <v>0.0</v>
      </c>
      <c r="M37" s="189">
        <v>5.0</v>
      </c>
      <c r="N37" s="189">
        <v>0.0</v>
      </c>
      <c r="O37" s="189">
        <v>0.0</v>
      </c>
      <c r="P37" s="189">
        <v>0.0</v>
      </c>
      <c r="Q37" s="189">
        <v>0.0</v>
      </c>
      <c r="R37" s="189">
        <v>1.0</v>
      </c>
      <c r="S37" s="189">
        <v>0.0</v>
      </c>
      <c r="T37" s="189">
        <v>852.0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2.0</v>
      </c>
      <c r="I38" s="189">
        <v>0.0</v>
      </c>
      <c r="J38" s="189">
        <v>0.0</v>
      </c>
      <c r="K38" s="189">
        <v>0.0</v>
      </c>
      <c r="L38" s="189">
        <v>0.0</v>
      </c>
      <c r="M38" s="189">
        <v>5.0</v>
      </c>
      <c r="N38" s="189">
        <v>2.0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91">
        <v>0.0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ref="U39:U67" si="4">IFERROR(I39/H39,0)</f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89">
        <v>3.0</v>
      </c>
      <c r="H40" s="189">
        <v>1.0</v>
      </c>
      <c r="I40" s="189">
        <v>0.0</v>
      </c>
      <c r="J40" s="189">
        <v>0.0</v>
      </c>
      <c r="K40" s="189">
        <v>0.0</v>
      </c>
      <c r="L40" s="189">
        <v>0.0</v>
      </c>
      <c r="M40" s="189">
        <v>0.0</v>
      </c>
      <c r="N40" s="189">
        <v>0.0</v>
      </c>
      <c r="O40" s="189">
        <v>0.0</v>
      </c>
      <c r="P40" s="189">
        <v>0.0</v>
      </c>
      <c r="Q40" s="189">
        <v>0.0</v>
      </c>
      <c r="R40" s="189">
        <v>0.0</v>
      </c>
      <c r="S40" s="189">
        <v>0.0</v>
      </c>
      <c r="T40" s="189">
        <v>0.0</v>
      </c>
      <c r="U40" s="111">
        <f t="shared" si="4"/>
        <v>0</v>
      </c>
      <c r="V40" s="111">
        <f t="shared" si="3"/>
        <v>0.3333333333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4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4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5.0</v>
      </c>
      <c r="H43" s="189">
        <v>3.0</v>
      </c>
      <c r="I43" s="189">
        <v>2.0</v>
      </c>
      <c r="J43" s="189">
        <v>1.0</v>
      </c>
      <c r="K43" s="189">
        <v>0.0</v>
      </c>
      <c r="L43" s="189">
        <v>0.0</v>
      </c>
      <c r="M43" s="189">
        <v>5.0</v>
      </c>
      <c r="N43" s="189">
        <v>2.0</v>
      </c>
      <c r="O43" s="189">
        <v>2.0</v>
      </c>
      <c r="P43" s="189">
        <v>0.0</v>
      </c>
      <c r="Q43" s="189">
        <v>0.0</v>
      </c>
      <c r="R43" s="189">
        <v>1.0</v>
      </c>
      <c r="S43" s="189">
        <v>0.0</v>
      </c>
      <c r="T43" s="189">
        <v>2250.0</v>
      </c>
      <c r="U43" s="130">
        <f t="shared" si="4"/>
        <v>0.6666666667</v>
      </c>
      <c r="V43" s="130">
        <f t="shared" si="3"/>
        <v>0.6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4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4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3.0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30">
        <f t="shared" si="4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2.0</v>
      </c>
      <c r="H47" s="189">
        <v>1.0</v>
      </c>
      <c r="I47" s="189">
        <v>0.0</v>
      </c>
      <c r="J47" s="189">
        <v>1.0</v>
      </c>
      <c r="K47" s="189">
        <v>0.0</v>
      </c>
      <c r="L47" s="189">
        <v>1.0</v>
      </c>
      <c r="M47" s="189">
        <v>6.0</v>
      </c>
      <c r="N47" s="189">
        <v>0.0</v>
      </c>
      <c r="O47" s="189">
        <v>0.0</v>
      </c>
      <c r="P47" s="189">
        <v>0.0</v>
      </c>
      <c r="Q47" s="189">
        <v>0.0</v>
      </c>
      <c r="R47" s="189">
        <v>1.0</v>
      </c>
      <c r="S47" s="189">
        <v>0.0</v>
      </c>
      <c r="T47" s="189">
        <v>0.0</v>
      </c>
      <c r="U47" s="130">
        <f t="shared" si="4"/>
        <v>0</v>
      </c>
      <c r="V47" s="130">
        <f t="shared" si="3"/>
        <v>1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4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13.0</v>
      </c>
      <c r="H49" s="189">
        <v>5.0</v>
      </c>
      <c r="I49" s="189">
        <v>2.0</v>
      </c>
      <c r="J49" s="189">
        <v>1.0</v>
      </c>
      <c r="K49" s="189">
        <v>1.0</v>
      </c>
      <c r="L49" s="189">
        <v>0.0</v>
      </c>
      <c r="M49" s="189">
        <v>2.0</v>
      </c>
      <c r="N49" s="189">
        <v>3.0</v>
      </c>
      <c r="O49" s="189">
        <v>2.0</v>
      </c>
      <c r="P49" s="189">
        <v>2.0</v>
      </c>
      <c r="Q49" s="189">
        <v>0.0</v>
      </c>
      <c r="R49" s="189">
        <v>0.0</v>
      </c>
      <c r="S49" s="189">
        <v>0.0</v>
      </c>
      <c r="T49" s="189">
        <v>2572.0</v>
      </c>
      <c r="U49" s="130">
        <f t="shared" si="4"/>
        <v>0.4</v>
      </c>
      <c r="V49" s="130">
        <f t="shared" si="3"/>
        <v>0.3846153846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2.0</v>
      </c>
      <c r="H50" s="189">
        <v>2.0</v>
      </c>
      <c r="I50" s="189">
        <v>0.0</v>
      </c>
      <c r="J50" s="189">
        <v>1.0</v>
      </c>
      <c r="K50" s="189">
        <v>0.0</v>
      </c>
      <c r="L50" s="189">
        <v>0.0</v>
      </c>
      <c r="M50" s="189">
        <v>11.0</v>
      </c>
      <c r="N50" s="189">
        <v>0.0</v>
      </c>
      <c r="O50" s="189">
        <v>0.0</v>
      </c>
      <c r="P50" s="189">
        <v>2.0</v>
      </c>
      <c r="Q50" s="189">
        <v>2.0</v>
      </c>
      <c r="R50" s="189">
        <v>0.0</v>
      </c>
      <c r="S50" s="189">
        <v>0.0</v>
      </c>
      <c r="T50" s="189">
        <v>0.0</v>
      </c>
      <c r="U50" s="130">
        <f t="shared" si="4"/>
        <v>0</v>
      </c>
      <c r="V50" s="130">
        <f t="shared" si="3"/>
        <v>1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2.0</v>
      </c>
      <c r="H51" s="189">
        <v>2.0</v>
      </c>
      <c r="I51" s="189">
        <v>1.0</v>
      </c>
      <c r="J51" s="189">
        <v>2.0</v>
      </c>
      <c r="K51" s="189">
        <v>1.0</v>
      </c>
      <c r="L51" s="189">
        <v>0.0</v>
      </c>
      <c r="M51" s="189">
        <v>6.0</v>
      </c>
      <c r="N51" s="189">
        <v>0.0</v>
      </c>
      <c r="O51" s="189">
        <v>0.0</v>
      </c>
      <c r="P51" s="189">
        <v>0.0</v>
      </c>
      <c r="Q51" s="189">
        <v>0.0</v>
      </c>
      <c r="R51" s="189">
        <v>2.0</v>
      </c>
      <c r="S51" s="189">
        <v>1.0</v>
      </c>
      <c r="T51" s="189">
        <v>1718.0</v>
      </c>
      <c r="U51" s="130">
        <f t="shared" si="4"/>
        <v>0.5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4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4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4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4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4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4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4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4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4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4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89">
        <v>1.0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11">
        <f t="shared" si="4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89">
        <v>0.0</v>
      </c>
      <c r="H63" s="189">
        <v>0.0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11">
        <f t="shared" si="4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11">
        <f t="shared" si="4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11">
        <f t="shared" si="4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89">
        <v>2.0</v>
      </c>
      <c r="H66" s="189">
        <v>0.0</v>
      </c>
      <c r="I66" s="189">
        <v>0.0</v>
      </c>
      <c r="J66" s="189">
        <v>0.0</v>
      </c>
      <c r="K66" s="189">
        <v>2.0</v>
      </c>
      <c r="L66" s="189">
        <v>2.0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11">
        <f t="shared" si="4"/>
        <v>0</v>
      </c>
      <c r="V66" s="111">
        <f t="shared" si="3"/>
        <v>1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11">
        <f t="shared" si="4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5">IFERROR(I71/H71,0)</f>
        <v>0</v>
      </c>
      <c r="V71" s="111">
        <f t="shared" ref="V71:V82" si="6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5"/>
        <v>0</v>
      </c>
      <c r="V72" s="111">
        <f t="shared" si="6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5"/>
        <v>0</v>
      </c>
      <c r="V73" s="111">
        <f t="shared" si="6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5"/>
        <v>0</v>
      </c>
      <c r="V74" s="111">
        <f t="shared" si="6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5"/>
        <v>0</v>
      </c>
      <c r="V75" s="111">
        <f t="shared" si="6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5"/>
        <v>0</v>
      </c>
      <c r="V79" s="111">
        <f t="shared" si="6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7">IFERROR(I84/H84,0)</f>
        <v>0</v>
      </c>
      <c r="V84" s="111">
        <f t="shared" ref="V84:V89" si="8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7"/>
        <v>0</v>
      </c>
      <c r="V85" s="111">
        <f t="shared" si="8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89">
        <v>0.0</v>
      </c>
      <c r="H86" s="189">
        <v>1.0</v>
      </c>
      <c r="I86" s="189">
        <v>0.0</v>
      </c>
      <c r="J86" s="189">
        <v>1.0</v>
      </c>
      <c r="K86" s="189">
        <v>0.0</v>
      </c>
      <c r="L86" s="189">
        <v>0.0</v>
      </c>
      <c r="M86" s="189">
        <v>3.0</v>
      </c>
      <c r="N86" s="189">
        <v>0.0</v>
      </c>
      <c r="O86" s="189">
        <v>0.0</v>
      </c>
      <c r="P86" s="189">
        <v>0.0</v>
      </c>
      <c r="Q86" s="189">
        <v>0.0</v>
      </c>
      <c r="R86" s="189">
        <v>1.0</v>
      </c>
      <c r="S86" s="189">
        <v>0.0</v>
      </c>
      <c r="T86" s="189">
        <v>0.0</v>
      </c>
      <c r="U86" s="111">
        <f t="shared" si="7"/>
        <v>0</v>
      </c>
      <c r="V86" s="111">
        <f t="shared" si="8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7"/>
        <v>0</v>
      </c>
      <c r="V87" s="111">
        <f t="shared" si="8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7"/>
        <v>0</v>
      </c>
      <c r="V89" s="111">
        <f t="shared" si="8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9">IFERROR(I91/H91,0)</f>
        <v>0</v>
      </c>
      <c r="V91" s="111">
        <f t="shared" ref="V91:V101" si="10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9"/>
        <v>0</v>
      </c>
      <c r="V92" s="111">
        <f t="shared" si="10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9"/>
        <v>0</v>
      </c>
      <c r="V93" s="111">
        <f t="shared" si="10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9"/>
        <v>0</v>
      </c>
      <c r="V94" s="111">
        <f t="shared" si="10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1">IFERROR(I103/H103,0)</f>
        <v>0</v>
      </c>
      <c r="V103" s="130">
        <f t="shared" ref="V103:V104" si="12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1"/>
        <v>0</v>
      </c>
      <c r="V104" s="130">
        <f t="shared" si="12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11487</v>
      </c>
      <c r="D2" s="10"/>
      <c r="E2" s="11">
        <f t="shared" ref="E2:R2" si="1">SUM(E5,E17,E20,E23,E26,E29)</f>
        <v>10565</v>
      </c>
      <c r="F2" s="11">
        <f t="shared" si="1"/>
        <v>34</v>
      </c>
      <c r="G2" s="11">
        <f t="shared" si="1"/>
        <v>17</v>
      </c>
      <c r="H2" s="11">
        <f t="shared" si="1"/>
        <v>9</v>
      </c>
      <c r="I2" s="11">
        <f t="shared" si="1"/>
        <v>6</v>
      </c>
      <c r="J2" s="11">
        <f t="shared" si="1"/>
        <v>4</v>
      </c>
      <c r="K2" s="11">
        <f t="shared" si="1"/>
        <v>7</v>
      </c>
      <c r="L2" s="11">
        <f t="shared" si="1"/>
        <v>2</v>
      </c>
      <c r="M2" s="11">
        <f t="shared" si="1"/>
        <v>32</v>
      </c>
      <c r="N2" s="11">
        <f t="shared" si="1"/>
        <v>6</v>
      </c>
      <c r="O2" s="11">
        <f t="shared" si="1"/>
        <v>3</v>
      </c>
      <c r="P2" s="11">
        <f t="shared" si="1"/>
        <v>9</v>
      </c>
      <c r="Q2" s="11">
        <f t="shared" si="1"/>
        <v>3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1276.333333</v>
      </c>
      <c r="F4" s="24">
        <f>IFERROR((G2+R2)/F2,0)</f>
        <v>0.5882352941</v>
      </c>
      <c r="G4" s="24">
        <f>IFERROR(H2/G2,0)</f>
        <v>0.5294117647</v>
      </c>
      <c r="H4" s="23">
        <f>(C2/C4)</f>
        <v>174.0454545</v>
      </c>
      <c r="I4" s="25"/>
      <c r="J4" s="24">
        <f>IFERROR(J2/I2,0)</f>
        <v>0.6666666667</v>
      </c>
      <c r="K4" s="25"/>
      <c r="L4" s="24">
        <f>IFERROR(L2/K2,0)</f>
        <v>0.2857142857</v>
      </c>
      <c r="M4" s="26">
        <f>IFERROR(M2/G2,0)</f>
        <v>1.882352941</v>
      </c>
      <c r="N4" s="25"/>
      <c r="O4" s="24">
        <f>IFERROR(O2/N2,0)</f>
        <v>0.5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11487</v>
      </c>
      <c r="D5" s="31"/>
      <c r="E5" s="32">
        <f>SUMIFS(T:T,A:A,B5,D:D,"Y")</f>
        <v>10565</v>
      </c>
      <c r="F5" s="11">
        <f>SUMIF(A:A,B5,G:G)</f>
        <v>34</v>
      </c>
      <c r="G5" s="11">
        <f>SUMIF(A:A,B5,H:H)</f>
        <v>16</v>
      </c>
      <c r="H5" s="11">
        <f>SUMIF(A:A,B5,I:I)</f>
        <v>9</v>
      </c>
      <c r="I5" s="11">
        <f>SUMIF(A:A,B5,P:P)</f>
        <v>6</v>
      </c>
      <c r="J5" s="11">
        <f>SUMIF(A:A,B5,Q:Q)</f>
        <v>4</v>
      </c>
      <c r="K5" s="11">
        <f>SUMIF(A:A,B5,R:R)</f>
        <v>6</v>
      </c>
      <c r="L5" s="11">
        <f>SUMIF(A:A,B5,S:S)</f>
        <v>2</v>
      </c>
      <c r="M5" s="11">
        <f>SUMIF(A:A,B5,M:M)</f>
        <v>32</v>
      </c>
      <c r="N5" s="11">
        <f>SUMIF(A:A,B5,N:N)</f>
        <v>6</v>
      </c>
      <c r="O5" s="11">
        <f>SUMIF(A:A,B5,O:O)</f>
        <v>3</v>
      </c>
      <c r="P5" s="11">
        <f>SUMIF(A:A,B5,J:J)</f>
        <v>8</v>
      </c>
      <c r="Q5" s="11">
        <f>SUMIF(A:A,B5,K:K)</f>
        <v>3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1276.333333</v>
      </c>
      <c r="F7" s="41">
        <f>IFERROR((G5+R5)/F5,0)</f>
        <v>0.5588235294</v>
      </c>
      <c r="G7" s="41">
        <f>IFERROR(H5/G5,0)</f>
        <v>0.5625</v>
      </c>
      <c r="H7" s="40">
        <f>(C5/C7)</f>
        <v>337.8529412</v>
      </c>
      <c r="I7" s="42"/>
      <c r="J7" s="41">
        <f>IFERROR(J5/I5,0)</f>
        <v>0.6666666667</v>
      </c>
      <c r="K7" s="42"/>
      <c r="L7" s="41">
        <f>IFERROR(L5/K5,0)</f>
        <v>0.3333333333</v>
      </c>
      <c r="M7" s="43">
        <f>IFERROR(M5/SUM(R5+G5,0),"")</f>
        <v>1.684210526</v>
      </c>
      <c r="N7" s="42"/>
      <c r="O7" s="41">
        <f>IFERROR(O5/N5,0)</f>
        <v>0.5</v>
      </c>
      <c r="P7" s="43"/>
      <c r="Q7" s="41">
        <f>IFERROR(Q5/P5,0)</f>
        <v>0.375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3488</v>
      </c>
      <c r="D8" s="48"/>
      <c r="E8" s="49">
        <f>SUMIFS(T:T,B:B,B8,D:D,"Y")</f>
        <v>3488</v>
      </c>
      <c r="F8" s="50">
        <f>SUMIF(B28:B1137,B8,G28:G1137)</f>
        <v>14</v>
      </c>
      <c r="G8" s="51">
        <f>SUMIF(B28:B1137,B8,H28:H1137)</f>
        <v>8</v>
      </c>
      <c r="H8" s="51">
        <f>SUMIF(B28:B1137,B8,I28:I1137)</f>
        <v>3</v>
      </c>
      <c r="I8" s="51">
        <f>SUMIF(B28:B1137,B8,P28:P1137)</f>
        <v>4</v>
      </c>
      <c r="J8" s="51">
        <f>SUMIF(B28:B1137,B8,Q28:Q1137)</f>
        <v>2</v>
      </c>
      <c r="K8" s="51">
        <f>SUMIF(B28:B1137,B8,R28:R1137)</f>
        <v>2</v>
      </c>
      <c r="L8" s="51">
        <f>SUMIF(B28:B1137,B8,S28:S1137)</f>
        <v>0</v>
      </c>
      <c r="M8" s="51">
        <f>SUMIF(B28:B1137,B8,M28:M1137)</f>
        <v>11</v>
      </c>
      <c r="N8" s="51">
        <f>SUMIF(B28:B1137,B8,N28:N1137)</f>
        <v>2</v>
      </c>
      <c r="O8" s="51">
        <f>SUMIF(B28:B1137,B8,O28:O1137)</f>
        <v>1</v>
      </c>
      <c r="P8" s="51">
        <f>SUMIF(B28:B1137,B8,J28:J1137)</f>
        <v>2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1162.666667</v>
      </c>
      <c r="F10" s="24">
        <f>IFERROR((G8+R8)/F8,0)</f>
        <v>0.6428571429</v>
      </c>
      <c r="G10" s="24">
        <f>IFERROR(H8/G8,0)</f>
        <v>0.375</v>
      </c>
      <c r="H10" s="23">
        <f>(C8/C10)</f>
        <v>249.1428571</v>
      </c>
      <c r="I10" s="25"/>
      <c r="J10" s="24">
        <f>IFERROR(J8/I8,0)</f>
        <v>0.5</v>
      </c>
      <c r="K10" s="25"/>
      <c r="L10" s="24">
        <f>IFERROR(L8/K8,0)</f>
        <v>0</v>
      </c>
      <c r="M10" s="26">
        <f>IFERROR(M8/SUM(R8+G8,0),"")</f>
        <v>1.222222222</v>
      </c>
      <c r="N10" s="25"/>
      <c r="O10" s="24">
        <f>IFERROR(O8/N8,0)</f>
        <v>0.5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6867</v>
      </c>
      <c r="D11" s="48"/>
      <c r="E11" s="59">
        <f>SUMIFS(T:T,B:B,B11,D:D,"Y")</f>
        <v>5945</v>
      </c>
      <c r="F11" s="60">
        <f>SUMIF(B31:B1137,B11,G31:G1137)</f>
        <v>16</v>
      </c>
      <c r="G11" s="61">
        <f>SUMIF(B31:B1137,B11,H31:H1137)</f>
        <v>7</v>
      </c>
      <c r="H11" s="61">
        <f>SUMIF(B31:B1137,B11,I31:I1137)</f>
        <v>5</v>
      </c>
      <c r="I11" s="61">
        <f>SUMIF(B31:B1137,B11,P31:P1137)</f>
        <v>2</v>
      </c>
      <c r="J11" s="61">
        <f>SUMIF(B31:B1137,B11,Q31:Q1137)</f>
        <v>2</v>
      </c>
      <c r="K11" s="61">
        <f>SUMIF(B31:B1137,B11,R31:R1137)</f>
        <v>1</v>
      </c>
      <c r="L11" s="61">
        <f>SUMIF(B31:B1137,B11,S31:S1137)</f>
        <v>1</v>
      </c>
      <c r="M11" s="61">
        <f>SUMIF(B31:B1137,B11,M31:M1137)</f>
        <v>12</v>
      </c>
      <c r="N11" s="61">
        <f>SUMIF(B31:B1137,B11,N31:N1137)</f>
        <v>4</v>
      </c>
      <c r="O11" s="61">
        <f>SUMIF(B31:B1137,B11,O31:O1137)</f>
        <v>2</v>
      </c>
      <c r="P11" s="61">
        <f>SUMIF(B31:B1137,B11,J31:J1137)</f>
        <v>4</v>
      </c>
      <c r="Q11" s="61">
        <f>SUMIF(B31:B1137,B11,K31:K1137)</f>
        <v>2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1373.4</v>
      </c>
      <c r="F13" s="24">
        <f>IFERROR((G11+R11)/F11,0)</f>
        <v>0.4375</v>
      </c>
      <c r="G13" s="24">
        <f>IFERROR(H11/G11,0)</f>
        <v>0.7142857143</v>
      </c>
      <c r="H13" s="23">
        <f>(C11/C13)</f>
        <v>1716.75</v>
      </c>
      <c r="I13" s="25"/>
      <c r="J13" s="24">
        <f>IFERROR(J11/I11,0)</f>
        <v>1</v>
      </c>
      <c r="K13" s="25"/>
      <c r="L13" s="24">
        <f>IFERROR(L11/K11,0)</f>
        <v>1</v>
      </c>
      <c r="M13" s="26">
        <f>IFERROR(M11/SUM(R11+G11,0),"")</f>
        <v>1.714285714</v>
      </c>
      <c r="N13" s="25"/>
      <c r="O13" s="24">
        <f>IFERROR(O11/N11,0)</f>
        <v>0.5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1132</v>
      </c>
      <c r="D14" s="64"/>
      <c r="E14" s="65">
        <f>SUMIFS(T:T,B:B,B14,D:D,"Y")</f>
        <v>1132</v>
      </c>
      <c r="F14" s="66">
        <f>SUMIF(B34:B1137,B14,G34:G1137)</f>
        <v>4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3</v>
      </c>
      <c r="L14" s="67">
        <f>SUMIF(B34:B1137,B14,S34:S1137)</f>
        <v>1</v>
      </c>
      <c r="M14" s="67">
        <f>SUMIF(B34:B1137,B14,M34:M1137)</f>
        <v>9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1132</v>
      </c>
      <c r="F16" s="24">
        <f>IFERROR((G14+R14)/F14,0)</f>
        <v>0.75</v>
      </c>
      <c r="G16" s="24">
        <f>IFERROR(H14/G14,0)</f>
        <v>1</v>
      </c>
      <c r="H16" s="23">
        <f>(C14/C16)</f>
        <v>75.46666667</v>
      </c>
      <c r="I16" s="25"/>
      <c r="J16" s="24">
        <f>IFERROR(J14/I14,0)</f>
        <v>0</v>
      </c>
      <c r="K16" s="25"/>
      <c r="L16" s="24">
        <f>IFERROR(L14/K14,0)</f>
        <v>0.3333333333</v>
      </c>
      <c r="M16" s="26">
        <f>IFERROR(M14/SUM(G14+R14,0),"")</f>
        <v>3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8.0</v>
      </c>
      <c r="H35" s="189">
        <v>4.0</v>
      </c>
      <c r="I35" s="189">
        <v>2.0</v>
      </c>
      <c r="J35" s="189">
        <v>0.0</v>
      </c>
      <c r="K35" s="189">
        <v>0.0</v>
      </c>
      <c r="L35" s="189">
        <v>0.0</v>
      </c>
      <c r="M35" s="189">
        <v>2.0</v>
      </c>
      <c r="N35" s="189">
        <v>0.0</v>
      </c>
      <c r="O35" s="189">
        <v>0.0</v>
      </c>
      <c r="P35" s="189">
        <v>4.0</v>
      </c>
      <c r="Q35" s="189">
        <v>2.0</v>
      </c>
      <c r="R35" s="189">
        <v>0.0</v>
      </c>
      <c r="S35" s="189">
        <v>0.0</v>
      </c>
      <c r="T35" s="189">
        <v>2552.0</v>
      </c>
      <c r="U35" s="111">
        <f t="shared" si="2"/>
        <v>0.5</v>
      </c>
      <c r="V35" s="111">
        <f t="shared" si="3"/>
        <v>0.5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1.0</v>
      </c>
      <c r="H37" s="189">
        <v>2.0</v>
      </c>
      <c r="I37" s="189">
        <v>0.0</v>
      </c>
      <c r="J37" s="189">
        <v>1.0</v>
      </c>
      <c r="K37" s="189">
        <v>0.0</v>
      </c>
      <c r="L37" s="189">
        <v>1.0</v>
      </c>
      <c r="M37" s="189">
        <v>5.0</v>
      </c>
      <c r="N37" s="189">
        <v>0.0</v>
      </c>
      <c r="O37" s="189">
        <v>0.0</v>
      </c>
      <c r="P37" s="189">
        <v>0.0</v>
      </c>
      <c r="Q37" s="189">
        <v>0.0</v>
      </c>
      <c r="R37" s="189">
        <v>2.0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3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1.0</v>
      </c>
      <c r="I38" s="189">
        <v>0.0</v>
      </c>
      <c r="J38" s="189">
        <v>0.0</v>
      </c>
      <c r="K38" s="189">
        <v>0.0</v>
      </c>
      <c r="L38" s="189">
        <v>0.0</v>
      </c>
      <c r="M38" s="189">
        <v>3.0</v>
      </c>
      <c r="N38" s="189">
        <v>1.0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0.25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1.0</v>
      </c>
      <c r="H43" s="189">
        <v>1.0</v>
      </c>
      <c r="I43" s="189">
        <v>1.0</v>
      </c>
      <c r="J43" s="189">
        <v>1.0</v>
      </c>
      <c r="K43" s="189">
        <v>1.0</v>
      </c>
      <c r="L43" s="189">
        <v>0.0</v>
      </c>
      <c r="M43" s="189">
        <v>1.0</v>
      </c>
      <c r="N43" s="189">
        <v>1.0</v>
      </c>
      <c r="O43" s="189">
        <v>1.0</v>
      </c>
      <c r="P43" s="189">
        <v>0.0</v>
      </c>
      <c r="Q43" s="189">
        <v>0.0</v>
      </c>
      <c r="R43" s="189">
        <v>0.0</v>
      </c>
      <c r="S43" s="189">
        <v>0.0</v>
      </c>
      <c r="T43" s="189">
        <v>936.0</v>
      </c>
      <c r="U43" s="130">
        <f t="shared" si="2"/>
        <v>1</v>
      </c>
      <c r="V43" s="130">
        <f t="shared" si="3"/>
        <v>1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10.0</v>
      </c>
      <c r="H49" s="110">
        <v>2.0</v>
      </c>
      <c r="I49" s="110">
        <v>2.0</v>
      </c>
      <c r="J49" s="110">
        <v>1.0</v>
      </c>
      <c r="K49" s="110">
        <v>1.0</v>
      </c>
      <c r="L49" s="110">
        <v>0.0</v>
      </c>
      <c r="M49" s="110">
        <v>2.0</v>
      </c>
      <c r="N49" s="110">
        <v>2.0</v>
      </c>
      <c r="O49" s="110">
        <v>2.0</v>
      </c>
      <c r="P49" s="110">
        <v>0.0</v>
      </c>
      <c r="Q49" s="110">
        <v>0.0</v>
      </c>
      <c r="R49" s="110">
        <v>0.0</v>
      </c>
      <c r="S49" s="110">
        <v>0.0</v>
      </c>
      <c r="T49" s="110">
        <v>3734.0</v>
      </c>
      <c r="U49" s="130">
        <f t="shared" si="2"/>
        <v>1</v>
      </c>
      <c r="V49" s="130">
        <f t="shared" si="3"/>
        <v>0.2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4.0</v>
      </c>
      <c r="H50" s="189">
        <v>3.0</v>
      </c>
      <c r="I50" s="189">
        <v>2.0</v>
      </c>
      <c r="J50" s="189">
        <v>1.0</v>
      </c>
      <c r="K50" s="189">
        <v>0.0</v>
      </c>
      <c r="L50" s="189">
        <v>0.0</v>
      </c>
      <c r="M50" s="189">
        <v>5.0</v>
      </c>
      <c r="N50" s="189">
        <v>1.0</v>
      </c>
      <c r="O50" s="189">
        <v>0.0</v>
      </c>
      <c r="P50" s="189">
        <v>2.0</v>
      </c>
      <c r="Q50" s="189">
        <v>2.0</v>
      </c>
      <c r="R50" s="189">
        <v>0.0</v>
      </c>
      <c r="S50" s="189">
        <v>0.0</v>
      </c>
      <c r="T50" s="189">
        <v>2211.0</v>
      </c>
      <c r="U50" s="130">
        <f t="shared" si="2"/>
        <v>0.6666666667</v>
      </c>
      <c r="V50" s="130">
        <f t="shared" si="3"/>
        <v>0.75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2.0</v>
      </c>
      <c r="H51" s="189">
        <v>2.0</v>
      </c>
      <c r="I51" s="189">
        <v>1.0</v>
      </c>
      <c r="J51" s="189">
        <v>2.0</v>
      </c>
      <c r="K51" s="189">
        <v>1.0</v>
      </c>
      <c r="L51" s="189">
        <v>0.0</v>
      </c>
      <c r="M51" s="189">
        <v>5.0</v>
      </c>
      <c r="N51" s="189">
        <v>1.0</v>
      </c>
      <c r="O51" s="189">
        <v>0.0</v>
      </c>
      <c r="P51" s="189">
        <v>0.0</v>
      </c>
      <c r="Q51" s="189">
        <v>0.0</v>
      </c>
      <c r="R51" s="189">
        <v>1.0</v>
      </c>
      <c r="S51" s="189">
        <v>1.0</v>
      </c>
      <c r="T51" s="189">
        <v>922.0</v>
      </c>
      <c r="U51" s="130">
        <f t="shared" si="2"/>
        <v>0.5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89">
        <v>4.0</v>
      </c>
      <c r="H62" s="189">
        <v>1.0</v>
      </c>
      <c r="I62" s="189">
        <v>1.0</v>
      </c>
      <c r="J62" s="189">
        <v>2.0</v>
      </c>
      <c r="K62" s="189">
        <v>0.0</v>
      </c>
      <c r="L62" s="189">
        <v>2.0</v>
      </c>
      <c r="M62" s="189">
        <v>9.0</v>
      </c>
      <c r="N62" s="189">
        <v>0.0</v>
      </c>
      <c r="O62" s="189">
        <v>0.0</v>
      </c>
      <c r="P62" s="189">
        <v>0.0</v>
      </c>
      <c r="Q62" s="189">
        <v>0.0</v>
      </c>
      <c r="R62" s="189">
        <v>3.0</v>
      </c>
      <c r="S62" s="189">
        <v>1.0</v>
      </c>
      <c r="T62" s="189">
        <v>1132.0</v>
      </c>
      <c r="U62" s="111">
        <f t="shared" si="2"/>
        <v>1</v>
      </c>
      <c r="V62" s="111">
        <f t="shared" si="3"/>
        <v>0.75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89">
        <v>0.0</v>
      </c>
      <c r="H63" s="189">
        <v>0.0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89">
        <v>0.0</v>
      </c>
      <c r="H86" s="189">
        <v>1.0</v>
      </c>
      <c r="I86" s="189">
        <v>0.0</v>
      </c>
      <c r="J86" s="189">
        <v>1.0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1.0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6</v>
      </c>
      <c r="G2" s="11">
        <f t="shared" si="1"/>
        <v>2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8</v>
      </c>
      <c r="N2" s="11">
        <f t="shared" si="1"/>
        <v>1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0.5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4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6</v>
      </c>
      <c r="G5" s="11">
        <f>SUMIF(A:A,B5,H:H)</f>
        <v>2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8</v>
      </c>
      <c r="N5" s="11">
        <f>SUMIF(A:A,B5,N:N)</f>
        <v>1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0.5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6</v>
      </c>
      <c r="G8" s="51">
        <f>SUMIF(B28:B1137,B8,H28:H1137)</f>
        <v>2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1</v>
      </c>
      <c r="L8" s="51">
        <f>SUMIF(B28:B1137,B8,S28:S1137)</f>
        <v>0</v>
      </c>
      <c r="M8" s="51">
        <f>SUMIF(B28:B1137,B8,M28:M1137)</f>
        <v>8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0.5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2.666666667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2.0</v>
      </c>
      <c r="H37" s="189">
        <v>1.0</v>
      </c>
      <c r="I37" s="189">
        <v>0.0</v>
      </c>
      <c r="J37" s="189">
        <v>0.0</v>
      </c>
      <c r="K37" s="189">
        <v>0.0</v>
      </c>
      <c r="L37" s="189">
        <v>1.0</v>
      </c>
      <c r="M37" s="189">
        <v>5.0</v>
      </c>
      <c r="N37" s="189">
        <v>0.0</v>
      </c>
      <c r="O37" s="189">
        <v>0.0</v>
      </c>
      <c r="P37" s="189">
        <v>0.0</v>
      </c>
      <c r="Q37" s="189">
        <v>0.0</v>
      </c>
      <c r="R37" s="189">
        <v>1.0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1.0</v>
      </c>
      <c r="I38" s="189">
        <v>0.0</v>
      </c>
      <c r="J38" s="189">
        <v>0.0</v>
      </c>
      <c r="K38" s="189">
        <v>0.0</v>
      </c>
      <c r="L38" s="189">
        <v>0.0</v>
      </c>
      <c r="M38" s="189">
        <v>3.0</v>
      </c>
      <c r="N38" s="189">
        <v>1.0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0.25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1212</v>
      </c>
      <c r="D2" s="10"/>
      <c r="E2" s="11">
        <f t="shared" ref="E2:R2" si="1">SUM(E5,E17,E20,E23,E26,E29)</f>
        <v>1212</v>
      </c>
      <c r="F2" s="11">
        <f t="shared" si="1"/>
        <v>8</v>
      </c>
      <c r="G2" s="11">
        <f t="shared" si="1"/>
        <v>5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3</v>
      </c>
      <c r="L2" s="11">
        <f t="shared" si="1"/>
        <v>0</v>
      </c>
      <c r="M2" s="11">
        <f t="shared" si="1"/>
        <v>10</v>
      </c>
      <c r="N2" s="11">
        <f t="shared" si="1"/>
        <v>2</v>
      </c>
      <c r="O2" s="11">
        <f t="shared" si="1"/>
        <v>1</v>
      </c>
      <c r="P2" s="11">
        <f t="shared" si="1"/>
        <v>1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1212</v>
      </c>
      <c r="F4" s="24">
        <f>IFERROR((G2+R2)/F2,0)</f>
        <v>0.75</v>
      </c>
      <c r="G4" s="24">
        <f>IFERROR(H2/G2,0)</f>
        <v>0.2</v>
      </c>
      <c r="H4" s="23">
        <f>(C2/C4)</f>
        <v>18.36363636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</v>
      </c>
      <c r="N4" s="25"/>
      <c r="O4" s="24">
        <f>IFERROR(O2/N2,0)</f>
        <v>0.5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1212</v>
      </c>
      <c r="D5" s="31"/>
      <c r="E5" s="32">
        <f>SUMIFS(T:T,A:A,B5,D:D,"Y")</f>
        <v>1212</v>
      </c>
      <c r="F5" s="11">
        <f>SUMIF(A:A,B5,G:G)</f>
        <v>8</v>
      </c>
      <c r="G5" s="11">
        <f>SUMIF(A:A,B5,H:H)</f>
        <v>5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0</v>
      </c>
      <c r="M5" s="11">
        <f>SUMIF(A:A,B5,M:M)</f>
        <v>10</v>
      </c>
      <c r="N5" s="11">
        <f>SUMIF(A:A,B5,N:N)</f>
        <v>2</v>
      </c>
      <c r="O5" s="11">
        <f>SUMIF(A:A,B5,O:O)</f>
        <v>1</v>
      </c>
      <c r="P5" s="11">
        <f>SUMIF(A:A,B5,J:J)</f>
        <v>1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1212</v>
      </c>
      <c r="F7" s="41">
        <f>IFERROR((G5+R5)/F5,0)</f>
        <v>0.75</v>
      </c>
      <c r="G7" s="41">
        <f>IFERROR(H5/G5,0)</f>
        <v>0.2</v>
      </c>
      <c r="H7" s="40">
        <f>(C5/C7)</f>
        <v>35.64705882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1.666666667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1212</v>
      </c>
      <c r="D8" s="48"/>
      <c r="E8" s="49">
        <f>SUMIFS(T:T,B:B,B8,D:D,"Y")</f>
        <v>1212</v>
      </c>
      <c r="F8" s="50">
        <f>SUMIF(B28:B1137,B8,G28:G1137)</f>
        <v>8</v>
      </c>
      <c r="G8" s="51">
        <f>SUMIF(B28:B1137,B8,H28:H1137)</f>
        <v>5</v>
      </c>
      <c r="H8" s="51">
        <f>SUMIF(B28:B1137,B8,I28:I1137)</f>
        <v>1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3</v>
      </c>
      <c r="L8" s="51">
        <f>SUMIF(B28:B1137,B8,S28:S1137)</f>
        <v>0</v>
      </c>
      <c r="M8" s="51">
        <f>SUMIF(B28:B1137,B8,M28:M1137)</f>
        <v>10</v>
      </c>
      <c r="N8" s="51">
        <f>SUMIF(B28:B1137,B8,N28:N1137)</f>
        <v>2</v>
      </c>
      <c r="O8" s="51">
        <f>SUMIF(B28:B1137,B8,O28:O1137)</f>
        <v>1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1212</v>
      </c>
      <c r="F10" s="24">
        <f>IFERROR((G8+R8)/F8,0)</f>
        <v>0.75</v>
      </c>
      <c r="G10" s="24">
        <f>IFERROR(H8/G8,0)</f>
        <v>0.2</v>
      </c>
      <c r="H10" s="23">
        <f>(C8/C10)</f>
        <v>86.57142857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1.666666667</v>
      </c>
      <c r="N10" s="25"/>
      <c r="O10" s="24">
        <f>IFERROR(O8/N8,0)</f>
        <v>0.5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4.0</v>
      </c>
      <c r="H37" s="189">
        <v>5.0</v>
      </c>
      <c r="I37" s="189">
        <v>1.0</v>
      </c>
      <c r="J37" s="189">
        <v>1.0</v>
      </c>
      <c r="K37" s="189">
        <v>0.0</v>
      </c>
      <c r="L37" s="189">
        <v>1.0</v>
      </c>
      <c r="M37" s="189">
        <v>10.0</v>
      </c>
      <c r="N37" s="189">
        <v>2.0</v>
      </c>
      <c r="O37" s="189">
        <v>1.0</v>
      </c>
      <c r="P37" s="189">
        <v>0.0</v>
      </c>
      <c r="Q37" s="189">
        <v>0.0</v>
      </c>
      <c r="R37" s="189">
        <v>3.0</v>
      </c>
      <c r="S37" s="189">
        <v>0.0</v>
      </c>
      <c r="T37" s="189">
        <v>1212.0</v>
      </c>
      <c r="U37" s="111">
        <f t="shared" si="2"/>
        <v>0.2</v>
      </c>
      <c r="V37" s="111">
        <f t="shared" si="3"/>
        <v>1.5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0.0</v>
      </c>
      <c r="I38" s="189">
        <v>0.0</v>
      </c>
      <c r="J38" s="189">
        <v>0.0</v>
      </c>
      <c r="K38" s="189">
        <v>0.0</v>
      </c>
      <c r="L38" s="189">
        <v>0.0</v>
      </c>
      <c r="M38" s="189">
        <v>0.0</v>
      </c>
      <c r="N38" s="189">
        <v>0.0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2" t="s">
        <v>127</v>
      </c>
      <c r="B1" s="192" t="s">
        <v>128</v>
      </c>
      <c r="C1" s="192" t="s">
        <v>35</v>
      </c>
      <c r="D1" s="192" t="s">
        <v>129</v>
      </c>
      <c r="E1" s="192" t="s">
        <v>0</v>
      </c>
      <c r="F1" s="192" t="s">
        <v>130</v>
      </c>
      <c r="G1" s="192" t="s">
        <v>131</v>
      </c>
      <c r="H1" s="192" t="s">
        <v>132</v>
      </c>
      <c r="I1" s="192" t="s">
        <v>133</v>
      </c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</row>
    <row r="2">
      <c r="A2" s="194" t="s">
        <v>134</v>
      </c>
      <c r="B2" s="194" t="s">
        <v>135</v>
      </c>
      <c r="C2" s="194" t="s">
        <v>136</v>
      </c>
      <c r="D2" s="195">
        <v>46150.0</v>
      </c>
      <c r="E2" s="194">
        <v>735.24</v>
      </c>
      <c r="F2" s="194" t="s">
        <v>137</v>
      </c>
      <c r="G2" s="194" t="s">
        <v>138</v>
      </c>
      <c r="H2" s="194" t="s">
        <v>139</v>
      </c>
      <c r="I2" s="194" t="s">
        <v>118</v>
      </c>
    </row>
  </sheetData>
  <drawing r:id="rId1"/>
</worksheet>
</file>