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<sst xmlns="http://schemas.openxmlformats.org/spreadsheetml/2006/main" count="3367" uniqueCount="106">
  <si>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</si>
  <si>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</si>
  <si>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</si>
  <si>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</si>
  <si>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</si>
  <si>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</si>
  <si>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</si>
  <si>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</si>
  <si>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</si>
  <si>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</si>
  <si>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</si>
  <si>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</si>
  <si>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</si>
  <si>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</si>
  <si>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</si>
  <si>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</si>
  <si>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</si>
  <si>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</si>
  <si>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</si>
  <si>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</si>
  <si>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</si>
  <si>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</si>
  <si>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</si>
  <si>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</si>
  <si>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</si>
  <si>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</si>
  <si>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</si>
  <si>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</si>
  <si>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</si>
  <si>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</si>
  <si>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</si>
  <si>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</si>
  <si>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</si>
  <si>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</si>
  <si>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</si>
  <si>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</si>
  <si>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</si>
  <si>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</si>
  <si>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</si>
  <si>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</si>
  <si>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</si>
  <si>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</si>
  <si>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</si>
  <si>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</si>
  <si>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</si>
  <si>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</si>
  <si>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</si>
  <si>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</si>
  <si>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</si>
  <si>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</si>
  <si>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</si>
  <si>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</si>
  <si>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</si>
  <si>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</si>
  <si>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</si>
  <si>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</si>
  <si>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</si>
  <si>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</si>
  <si>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Sean Seelbach</t>
  </si>
  <si>
    <t>Ashley Varner-Warren</t>
  </si>
  <si>
    <t>Jumah Day</t>
  </si>
  <si>
    <t>Jasmine Marquez</t>
  </si>
  <si>
    <t>Thomas Kirk</t>
  </si>
  <si>
    <t>Kristen Walton</t>
  </si>
  <si>
    <t>Mariah Talicuran</t>
  </si>
  <si>
    <t>Janice Elgedawy</t>
  </si>
  <si>
    <t xml:space="preserve">Sherita Thompson </t>
  </si>
  <si>
    <t xml:space="preserve">Kay Finch </t>
  </si>
  <si>
    <t>Courtney Morse</t>
  </si>
  <si>
    <t>Frederick Anderson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</si>
  <si>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</si>
  <si>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</si>
  <si>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</si>
  <si>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</si>
  <si>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</si>
  <si>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</si>
  <si>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</si>
  <si>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</si>
  <si>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</si>
  <si>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</si>
  <si>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</si>
  <si>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</si>
  <si>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</si>
  <si>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</si>
  <si>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</si>
  <si>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</si>
  <si>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</si>
  <si>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</si>
  <si>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</si>
  <si>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</si>
  <si>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</si>
  <si>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 xml:space="preserve">c  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</si>
  <si>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</si>
  <si>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</si>
  <si>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</si>
  <si>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</si>
  <si>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</si>
  <si>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</si>
  <si>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</si>
  <si>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NICHOLAS POPE</t>
  </si>
  <si>
    <t>JOY VANNAUSTIN</t>
  </si>
  <si>
    <t>RUST</t>
  </si>
  <si>
    <t>N/A</t>
  </si>
  <si>
    <t>NO</t>
  </si>
  <si>
    <t>CANCEL PER AGENT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</si>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</sst>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17267.96</v>
      </c>
      <c r="D2" s="10"/>
      <c r="E2" s="9">
        <f t="shared" ref="E2:R2" si="1">SUM(E5,E14,E17)</f>
        <v>3202</v>
      </c>
      <c r="F2" s="9">
        <f t="shared" si="1"/>
        <v>49</v>
      </c>
      <c r="G2" s="9">
        <f t="shared" si="1"/>
        <v>29</v>
      </c>
      <c r="H2" s="9">
        <f t="shared" si="1"/>
        <v>11</v>
      </c>
      <c r="I2" s="9">
        <f t="shared" si="1"/>
        <v>1</v>
      </c>
      <c r="J2" s="9">
        <f t="shared" si="1"/>
        <v>0</v>
      </c>
      <c r="K2" s="9">
        <f t="shared" si="1"/>
        <v>13</v>
      </c>
      <c r="L2" s="9">
        <f t="shared" si="1"/>
        <v>4</v>
      </c>
      <c r="M2" s="9">
        <f t="shared" si="1"/>
        <v>105</v>
      </c>
      <c r="N2" s="9">
        <f t="shared" si="1"/>
        <v>13</v>
      </c>
      <c r="O2" s="9">
        <f t="shared" si="1"/>
        <v>8</v>
      </c>
      <c r="P2" s="9">
        <f t="shared" si="1"/>
        <v>12</v>
      </c>
      <c r="Q2" s="9">
        <f t="shared" si="1"/>
        <v>3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1569.814545</v>
      </c>
      <c r="F4" s="23">
        <f>IFERROR((G2+R2)/F2,0)</f>
        <v>0.6734693878</v>
      </c>
      <c r="G4" s="23">
        <f>IFERROR(H2/G2,0)</f>
        <v>0.3793103448</v>
      </c>
      <c r="H4" s="22">
        <f>(C2/C4)</f>
        <v>359.7491667</v>
      </c>
      <c r="I4" s="24"/>
      <c r="J4" s="23">
        <f>IFERROR(J2/I2,0)</f>
        <v>0</v>
      </c>
      <c r="K4" s="24"/>
      <c r="L4" s="23">
        <f>IFERROR(L2/K2,0)</f>
        <v>0.3076923077</v>
      </c>
      <c r="M4" s="25">
        <f>IFERROR(M2/G2,0)</f>
        <v>3.620689655</v>
      </c>
      <c r="N4" s="24"/>
      <c r="O4" s="23">
        <f>IFERROR(O2/N2,0)</f>
        <v>0.6153846154</v>
      </c>
      <c r="P4" s="26"/>
      <c r="Q4" s="23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17267.96</v>
      </c>
      <c r="D5" s="31"/>
      <c r="E5" s="32">
        <f>SUMIFS(T:T,A:A,B5,D:D,"Y")</f>
        <v>3202</v>
      </c>
      <c r="F5" s="33">
        <f>SUMIF(A:A,B5,G:G)</f>
        <v>43</v>
      </c>
      <c r="G5" s="33">
        <f>SUMIF(A:A,B5,H:H)</f>
        <v>26</v>
      </c>
      <c r="H5" s="33">
        <f>SUMIF(A:A,B5,I:I)</f>
        <v>11</v>
      </c>
      <c r="I5" s="33">
        <f>SUMIF(A:A,B5,P:P)</f>
        <v>0</v>
      </c>
      <c r="J5" s="33">
        <f>SUMIF(A:A,B5,Q:Q)</f>
        <v>0</v>
      </c>
      <c r="K5" s="33">
        <f>SUMIF(A:A,B5,R:R)</f>
        <v>11</v>
      </c>
      <c r="L5" s="33">
        <f>SUMIF(A:A,B5,S:S)</f>
        <v>4</v>
      </c>
      <c r="M5" s="33">
        <f>SUMIF(A:A,B5,M:M)</f>
        <v>102</v>
      </c>
      <c r="N5" s="33">
        <f>SUMIF(A:A,B5,N:N)</f>
        <v>13</v>
      </c>
      <c r="O5" s="33">
        <f>SUMIF(A:A,B5,O:O)</f>
        <v>8</v>
      </c>
      <c r="P5" s="33">
        <f>SUMIF(A:A,B5,J:J)</f>
        <v>12</v>
      </c>
      <c r="Q5" s="33">
        <f>SUMIF(A:A,B5,K:K)</f>
        <v>3</v>
      </c>
      <c r="R5" s="34">
        <f>SUMIF(A:A,B5,L:L)</f>
        <v>4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1569.814545</v>
      </c>
      <c r="F7" s="41">
        <f>IFERROR((G5+R5)/F5,0)</f>
        <v>0.6976744186</v>
      </c>
      <c r="G7" s="41">
        <f>IFERROR(H5/G5,0)</f>
        <v>0.4230769231</v>
      </c>
      <c r="H7" s="40">
        <f>(C5/C7)</f>
        <v>822.2838095</v>
      </c>
      <c r="I7" s="42"/>
      <c r="J7" s="41">
        <f>IFERROR(J5/I5,0)</f>
        <v>0</v>
      </c>
      <c r="K7" s="42"/>
      <c r="L7" s="41">
        <f>IFERROR(L5/K5,0)</f>
        <v>0.3636363636</v>
      </c>
      <c r="M7" s="43">
        <f>IFERROR(M5/SUM(R5+G5,0),"")</f>
        <v>3.4</v>
      </c>
      <c r="N7" s="42"/>
      <c r="O7" s="41">
        <f>IFERROR(O5/N5,0)</f>
        <v>0.6153846154</v>
      </c>
      <c r="P7" s="43"/>
      <c r="Q7" s="41">
        <f>IFERROR(Q5/P5,0)</f>
        <v>0.25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SUMIF(B35:B1069,B8,G35:G1069)</f>
        <v>0</v>
      </c>
      <c r="G8" s="46">
        <f>SUMIF(B35:B1069,B8,H35:H1069)</f>
        <v>0</v>
      </c>
      <c r="H8" s="46">
        <f>SUMIF(B35:B1069,B8,I35:I1069)</f>
        <v>0</v>
      </c>
      <c r="I8" s="46">
        <f>SUMIF(B35:B1069,B8,P35:P1069)</f>
        <v>0</v>
      </c>
      <c r="J8" s="46">
        <f>SUMIF(B35:B1069,B8,Q35:Q1069)</f>
        <v>0</v>
      </c>
      <c r="K8" s="46">
        <f>SUMIF(B35:B1069,B8,R35:R1069)</f>
        <v>0</v>
      </c>
      <c r="L8" s="46">
        <f>SUMIF(B35:B1069,B8,S35:S1069)</f>
        <v>0</v>
      </c>
      <c r="M8" s="46">
        <f>SUMIF(B35:B1069,B8,M35:M1069)</f>
        <v>0</v>
      </c>
      <c r="N8" s="46">
        <f>SUMIF(B35:B1069,B8,N35:N1069)</f>
        <v>0</v>
      </c>
      <c r="O8" s="46">
        <f>SUMIF(B35:B1069,B8,O35:O1069)</f>
        <v>0</v>
      </c>
      <c r="P8" s="46">
        <f>SUMIF(B35:B1069,B8,J35:J1069)</f>
        <v>0</v>
      </c>
      <c r="Q8" s="46">
        <f>SUMIF(B35:B1069,B8,K35:K1069)</f>
        <v>0</v>
      </c>
      <c r="R8" s="50">
        <f>SUMIF(B35:B1069,B8,L35:L1069)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COUNTIFS(B28:B1069,B8)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13075</v>
      </c>
      <c r="D11" s="47"/>
      <c r="E11" s="48">
        <f>SUMIFS(T:T,B:B,B11,D:D,"Y")</f>
        <v>3202</v>
      </c>
      <c r="F11" s="49">
        <f t="shared" ref="F11:R11" si="2">SUMIF(B28:B1069,B11,G28:G1069)</f>
        <v>41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4</v>
      </c>
      <c r="N11" s="49">
        <f t="shared" si="2"/>
        <v>5</v>
      </c>
      <c r="O11" s="49">
        <f t="shared" si="2"/>
        <v>1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COUNTIFS(B27:B1069,B11)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1089.583333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0.2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6</v>
      </c>
      <c r="G14" s="33">
        <f>SUMIF(A:A,B14,H:H)</f>
        <v>3</v>
      </c>
      <c r="H14" s="33">
        <f>SUMIF(A:A,B14,I:I)</f>
        <v>0</v>
      </c>
      <c r="I14" s="33">
        <f>SUMIF(A:A,B14,P:P)</f>
        <v>1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SUMIF(B49:B1069,B20,G49:G1069)</f>
        <v>0</v>
      </c>
      <c r="G20" s="46">
        <f>SUMIF(B49:B1069,B20,H49:H1069)</f>
        <v>0</v>
      </c>
      <c r="H20" s="46">
        <f>SUMIF(B49:B1069,B20,I49:I1069)</f>
        <v>0</v>
      </c>
      <c r="I20" s="46">
        <f>SUMIF(B49:B1069,B20,P49:P1069)</f>
        <v>0</v>
      </c>
      <c r="J20" s="46">
        <f>SUMIF(B49:B1069,B20,Q49:Q1069)</f>
        <v>0</v>
      </c>
      <c r="K20" s="46">
        <f>SUMIF(B49:B1069,B20,R49:R1069)</f>
        <v>0</v>
      </c>
      <c r="L20" s="46">
        <f>SUMIF(B49:B1069,B20,S49:S1069)</f>
        <v>0</v>
      </c>
      <c r="M20" s="46">
        <f>SUMIF(B49:B1069,B20,M49:M1069)</f>
        <v>0</v>
      </c>
      <c r="N20" s="46">
        <f>SUMIF(B49:B1069,B20,N49:N1069)</f>
        <v>0</v>
      </c>
      <c r="O20" s="46">
        <f>SUMIF(B49:B1069,B20,O49:O1069)</f>
        <v>0</v>
      </c>
      <c r="P20" s="46">
        <f>SUMIF(B49:B1069,B20,J49:J1069)</f>
        <v>0</v>
      </c>
      <c r="Q20" s="46">
        <f>SUMIF(B49:B1069,B20,K49:K1069)</f>
        <v>0</v>
      </c>
      <c r="R20" s="50">
        <f>SUMIF(B49:B1069,B20,L49:L1069)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COUNTIFS(B28:B1069,B20)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SUMIF(B53:B1069,B23,G53:G1069)</f>
        <v>0</v>
      </c>
      <c r="G23" s="46">
        <f>SUMIF(B53:B1069,B23,H53:H1069)</f>
        <v>0</v>
      </c>
      <c r="H23" s="46">
        <f>SUMIF(B53:B1069,B23,I53:I1069)</f>
        <v>0</v>
      </c>
      <c r="I23" s="46">
        <f>SUMIF(B53:B1069,B23,P53:P1069)</f>
        <v>0</v>
      </c>
      <c r="J23" s="46">
        <f>SUMIF(B53:B1069,B23,Q53:Q1069)</f>
        <v>0</v>
      </c>
      <c r="K23" s="46">
        <f>SUMIF(B53:B1069,B23,R53:R1069)</f>
        <v>0</v>
      </c>
      <c r="L23" s="46">
        <f>SUMIF(B53:B1069,B23,S53:S1069)</f>
        <v>0</v>
      </c>
      <c r="M23" s="46">
        <f>SUMIF(B53:B1069,B23,M53:M1069)</f>
        <v>0</v>
      </c>
      <c r="N23" s="46">
        <f>SUMIF(B53:B1069,B23,N53:N1069)</f>
        <v>0</v>
      </c>
      <c r="O23" s="46">
        <f>SUMIF(B53:B1069,B23,O53:O1069)</f>
        <v>0</v>
      </c>
      <c r="P23" s="46">
        <f>SUMIF(B53:B1069,B23,J53:J1069)</f>
        <v>0</v>
      </c>
      <c r="Q23" s="46">
        <f>SUMIF(B53:B1069,B23,K53:K1069)</f>
        <v>0</v>
      </c>
      <c r="R23" s="50">
        <f>SUMIF(B53:B1069,B23,L53:L1069)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COUNTIFS(B41:B1069,B23)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>
        <f>('Thurs (2)'!G30+Thurs!G30+'Tues '!G30+Wed!G30+Fri!G30+'Mon '!G30+'Wed (2)'!G30+Sun!G30+Sat!G30)</f>
        <v>0</v>
      </c>
      <c r="H30" s="70">
        <f>('Thurs (2)'!H30+Thurs!H30+'Tues '!H30+Wed!H30+Fri!H30+'Mon '!H30+'Wed (2)'!H30+Sun!H30+Sat!H30)</f>
        <v>0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0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0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0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>
        <f>('Thurs (2)'!G31+Thurs!G31+'Tues '!G31+Wed!G31+Fri!G31+'Mon '!G31+'Wed (2)'!G31+Sun!G31+Sat!G31)</f>
        <v>2</v>
      </c>
      <c r="H31" s="70">
        <f>('Thurs (2)'!H31+Thurs!H31+'Tues '!H31+Wed!H31+Fri!H31+'Mon '!H31+'Wed (2)'!H31+Sun!H31+Sat!H31)</f>
        <v>5</v>
      </c>
      <c r="I31" s="70">
        <f>('Thurs (2)'!I31+Thurs!I31+'Tues '!I31+Wed!I31+Fri!I31+'Mon '!I31+'Wed (2)'!I31+Sun!I31+Sat!I31)</f>
        <v>3</v>
      </c>
      <c r="J31" s="70">
        <f>('Thurs (2)'!J31+Thurs!J31+'Tues '!J31+Wed!J31+Fri!J31+'Mon '!J31+'Wed (2)'!J31+Sun!J31+Sat!J31)</f>
        <v>3</v>
      </c>
      <c r="K31" s="70">
        <f>('Thurs (2)'!K31+Thurs!K31+'Tues '!K31+Wed!K31+Fri!K31+'Mon '!K31+'Wed (2)'!K31+Sun!K31+Sat!K31)</f>
        <v>1</v>
      </c>
      <c r="L31" s="70">
        <f>('Thurs (2)'!L31+Thurs!L31+'Tues '!L31+Wed!L31+Fri!L31+'Mon '!L31+'Wed (2)'!L31+Sun!L31+Sat!L31)</f>
        <v>2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1</v>
      </c>
      <c r="O31" s="70">
        <f>('Thurs (2)'!O31+Thurs!O31+'Tues '!O31+Wed!O31+Fri!O31+'Mon '!O31+'Wed (2)'!O31+Sun!O31+Sat!O31)</f>
        <v>1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2</v>
      </c>
      <c r="S31" s="70">
        <f>('Thurs (2)'!S31+Thurs!S31+'Tues '!S31+Wed!S31+Fri!S31+'Mon '!S31+'Wed (2)'!S31+Sun!S31+Sat!S31)</f>
        <v>2</v>
      </c>
      <c r="T31" s="70">
        <f>('Thurs (2)'!T31+Thurs!T31+'Tues '!T31+Wed!T31+Fri!T31+'Mon '!T31+'Wed (2)'!T31+Sun!T31+Sat!T31)</f>
        <v>4192.96</v>
      </c>
      <c r="U31" s="71">
        <f t="shared" si="3"/>
        <v>0.6</v>
      </c>
      <c r="V31" s="71">
        <f t="shared" si="4"/>
        <v>3.5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>
        <f>('Thurs (2)'!G33+Thurs!G33+'Tues '!G33+Wed!G33+Fri!G33+'Mon '!G33+'Wed (2)'!G33+Sun!G33+Sat!G33)</f>
        <v>4</v>
      </c>
      <c r="H33" s="70">
        <f>('Thurs (2)'!H33+Thurs!H33+'Tues '!H33+Wed!H33+Fri!H33+'Mon '!H33+'Wed (2)'!H33+Sun!H33+Sat!H33)</f>
        <v>3</v>
      </c>
      <c r="I33" s="70">
        <f>('Thurs (2)'!I33+Thurs!I33+'Tues '!I33+Wed!I33+Fri!I33+'Mon '!I33+'Wed (2)'!I33+Sun!I33+Sat!I33)</f>
        <v>3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26</v>
      </c>
      <c r="N33" s="70">
        <f>('Thurs (2)'!N33+Thurs!N33+'Tues '!N33+Wed!N33+Fri!N33+'Mon '!N33+'Wed (2)'!N33+Sun!N33+Sat!N33)</f>
        <v>3</v>
      </c>
      <c r="O33" s="70">
        <f>('Thurs (2)'!O33+Thurs!O33+'Tues '!O33+Wed!O33+Fri!O33+'Mon '!O33+'Wed (2)'!O33+Sun!O33+Sat!O33)</f>
        <v>3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1</v>
      </c>
      <c r="S33" s="70">
        <f>('Thurs (2)'!S33+Thurs!S33+'Tues '!S33+Wed!S33+Fri!S33+'Mon '!S33+'Wed (2)'!S33+Sun!S33+Sat!S33)</f>
        <v>1</v>
      </c>
      <c r="T33" s="70">
        <f>('Thurs (2)'!T33+Thurs!T33+'Tues '!T33+Wed!T33+Fri!T33+'Mon '!T33+'Wed (2)'!T33+Sun!T33+Sat!T33)</f>
        <v>3202</v>
      </c>
      <c r="U33" s="71">
        <f t="shared" si="3"/>
        <v>1</v>
      </c>
      <c r="V33" s="71">
        <f t="shared" si="4"/>
        <v>0.75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>
        <f>('Thurs (2)'!G34+Thurs!G34+'Tues '!G34+Wed!G34+Fri!G34+'Mon '!G34+'Wed (2)'!G34+Sun!G34+Sat!G34)</f>
        <v>4</v>
      </c>
      <c r="H34" s="70">
        <f>('Thurs (2)'!H34+Thurs!H34+'Tues '!H34+Wed!H34+Fri!H34+'Mon '!H34+'Wed (2)'!H34+Sun!H34+Sat!H34)</f>
        <v>2</v>
      </c>
      <c r="I34" s="70">
        <f>('Thurs (2)'!I34+Thurs!I34+'Tues '!I34+Wed!I34+Fri!I34+'Mon '!I34+'Wed (2)'!I34+Sun!I34+Sat!I34)</f>
        <v>1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6</v>
      </c>
      <c r="N34" s="70">
        <f>('Thurs (2)'!N34+Thurs!N34+'Tues '!N34+Wed!N34+Fri!N34+'Mon '!N34+'Wed (2)'!N34+Sun!N34+Sat!N34)</f>
        <v>1</v>
      </c>
      <c r="O34" s="70">
        <f>('Thurs (2)'!O34+Thurs!O34+'Tues '!O34+Wed!O34+Fri!O34+'Mon '!O34+'Wed (2)'!O34+Sun!O34+Sat!O34)</f>
        <v>1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0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808</v>
      </c>
      <c r="U34" s="71">
        <f t="shared" si="3"/>
        <v>0.5</v>
      </c>
      <c r="V34" s="71">
        <f t="shared" si="4"/>
        <v>0.5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>
        <f>('Thurs (2)'!G35+Thurs!G35+'Tues '!G35+Wed!G35+Fri!G35+'Mon '!G35+'Wed (2)'!G35+Sun!G35+Sat!G35)</f>
        <v>1</v>
      </c>
      <c r="H35" s="70">
        <f>('Thurs (2)'!H35+Thurs!H35+'Tues '!H35+Wed!H35+Fri!H35+'Mon '!H35+'Wed (2)'!H35+Sun!H35+Sat!H35)</f>
        <v>0</v>
      </c>
      <c r="I35" s="70">
        <f>('Thurs (2)'!I35+Thurs!I35+'Tues '!I35+Wed!I35+Fri!I35+'Mon '!I35+'Wed (2)'!I35+Sun!I35+Sat!I35)</f>
        <v>0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0</v>
      </c>
      <c r="N35" s="70">
        <f>('Thurs (2)'!N35+Thurs!N35+'Tues '!N35+Wed!N35+Fri!N35+'Mon '!N35+'Wed (2)'!N35+Sun!N35+Sat!N35)</f>
        <v>0</v>
      </c>
      <c r="O35" s="70">
        <f>('Thurs (2)'!O35+Thurs!O35+'Tues '!O35+Wed!O35+Fri!O35+'Mon '!O35+'Wed (2)'!O35+Sun!O35+Sat!O35)</f>
        <v>0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>
        <f>('Thurs (2)'!G36+Thurs!G36+'Tues '!G36+Wed!G36+Fri!G36+'Mon '!G36+'Wed (2)'!G36+Sun!G36+Sat!G36)</f>
        <v>4</v>
      </c>
      <c r="H36" s="70">
        <f>('Thurs (2)'!H36+Thurs!H36+'Tues '!H36+Wed!H36+Fri!H36+'Mon '!H36+'Wed (2)'!H36+Sun!H36+Sat!H36)</f>
        <v>1</v>
      </c>
      <c r="I36" s="70">
        <f>('Thurs (2)'!I36+Thurs!I36+'Tues '!I36+Wed!I36+Fri!I36+'Mon '!I36+'Wed (2)'!I36+Sun!I36+Sat!I36)</f>
        <v>1</v>
      </c>
      <c r="J36" s="70">
        <f>('Thurs (2)'!J36+Thurs!J36+'Tues '!J36+Wed!J36+Fri!J36+'Mon '!J36+'Wed (2)'!J36+Sun!J36+Sat!J36)</f>
        <v>1</v>
      </c>
      <c r="K36" s="70">
        <f>('Thurs (2)'!K36+Thurs!K36+'Tues '!K36+Wed!K36+Fri!K36+'Mon '!K36+'Wed (2)'!K36+Sun!K36+Sat!K36)</f>
        <v>1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1</v>
      </c>
      <c r="O36" s="70">
        <f>('Thurs (2)'!O36+Thurs!O36+'Tues '!O36+Wed!O36+Fri!O36+'Mon '!O36+'Wed (2)'!O36+Sun!O36+Sat!O36)</f>
        <v>1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3293</v>
      </c>
      <c r="U36" s="71">
        <f t="shared" si="3"/>
        <v>1</v>
      </c>
      <c r="V36" s="71">
        <f t="shared" si="4"/>
        <v>0.25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>
        <f>('Thurs (2)'!G38+Thurs!G38+'Tues '!G38+Wed!G38+Fri!G38+'Mon '!G38+'Wed (2)'!G38+Sun!G38+Sat!G38)</f>
        <v>0</v>
      </c>
      <c r="H38" s="70">
        <f>('Thurs (2)'!H38+Thurs!H38+'Tues '!H38+Wed!H38+Fri!H38+'Mon '!H38+'Wed (2)'!H38+Sun!H38+Sat!H38)</f>
        <v>0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0</v>
      </c>
      <c r="N38" s="70">
        <f>('Thurs (2)'!N38+Thurs!N38+'Tues '!N38+Wed!N38+Fri!N38+'Mon '!N38+'Wed (2)'!N38+Sun!N38+Sat!N38)</f>
        <v>0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0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>
        <f>('Thurs (2)'!G39+Thurs!G39+'Tues '!G39+Wed!G39+Fri!G39+'Mon '!G39+'Wed (2)'!G39+Sun!G39+Sat!G39)</f>
        <v>6</v>
      </c>
      <c r="H39" s="70">
        <f>('Thurs (2)'!H39+Thurs!H39+'Tues '!H39+Wed!H39+Fri!H39+'Mon '!H39+'Wed (2)'!H39+Sun!H39+Sat!H39)</f>
        <v>4</v>
      </c>
      <c r="I39" s="70">
        <f>('Thurs (2)'!I39+Thurs!I39+'Tues '!I39+Wed!I39+Fri!I39+'Mon '!I39+'Wed (2)'!I39+Sun!I39+Sat!I39)</f>
        <v>2</v>
      </c>
      <c r="J39" s="70">
        <f>('Thurs (2)'!J39+Thurs!J39+'Tues '!J39+Wed!J39+Fri!J39+'Mon '!J39+'Wed (2)'!J39+Sun!J39+Sat!J39)</f>
        <v>3</v>
      </c>
      <c r="K39" s="70">
        <f>('Thurs (2)'!K39+Thurs!K39+'Tues '!K39+Wed!K39+Fri!K39+'Mon '!K39+'Wed (2)'!K39+Sun!K39+Sat!K39)</f>
        <v>1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26</v>
      </c>
      <c r="N39" s="70">
        <f>('Thurs (2)'!N39+Thurs!N39+'Tues '!N39+Wed!N39+Fri!N39+'Mon '!N39+'Wed (2)'!N39+Sun!N39+Sat!N39)</f>
        <v>1</v>
      </c>
      <c r="O39" s="70">
        <f>('Thurs (2)'!O39+Thurs!O39+'Tues '!O39+Wed!O39+Fri!O39+'Mon '!O39+'Wed (2)'!O39+Sun!O39+Sat!O39)</f>
        <v>1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3</v>
      </c>
      <c r="S39" s="70">
        <f>('Thurs (2)'!S39+Thurs!S39+'Tues '!S39+Wed!S39+Fri!S39+'Mon '!S39+'Wed (2)'!S39+Sun!S39+Sat!S39)</f>
        <v>1</v>
      </c>
      <c r="T39" s="70">
        <f>('Thurs (2)'!T39+Thurs!T39+'Tues '!T39+Wed!T39+Fri!T39+'Mon '!T39+'Wed (2)'!T39+Sun!T39+Sat!T39)</f>
        <v>1954</v>
      </c>
      <c r="U39" s="71">
        <f t="shared" si="3"/>
        <v>0.5</v>
      </c>
      <c r="V39" s="71">
        <f t="shared" si="4"/>
        <v>0.6666666667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>
        <f>('Thurs (2)'!G41+Thurs!G41+'Tues '!G41+Wed!G41+Fri!G41+'Mon '!G41+'Wed (2)'!G41+Sun!G41+Sat!G41)</f>
        <v>5</v>
      </c>
      <c r="H41" s="70">
        <f>('Thurs (2)'!H41+Thurs!H41+'Tues '!H41+Wed!H41+Fri!H41+'Mon '!H41+'Wed (2)'!H41+Sun!H41+Sat!H41)</f>
        <v>3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2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1</v>
      </c>
      <c r="M41" s="70">
        <f>('Thurs (2)'!M41+Thurs!M41+'Tues '!M41+Wed!M41+Fri!M41+'Mon '!M41+'Wed (2)'!M41+Sun!M41+Sat!M41)</f>
        <v>21</v>
      </c>
      <c r="N41" s="70">
        <f>('Thurs (2)'!N41+Thurs!N41+'Tues '!N41+Wed!N41+Fri!N41+'Mon '!N41+'Wed (2)'!N41+Sun!N41+Sat!N41)</f>
        <v>1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2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0.8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>
        <f>('Thurs (2)'!G42+Thurs!G42+'Tues '!G42+Wed!G42+Fri!G42+'Mon '!G42+'Wed (2)'!G42+Sun!G42+Sat!G42)</f>
        <v>1</v>
      </c>
      <c r="H42" s="70">
        <f>('Thurs (2)'!H42+Thurs!H42+'Tues '!H42+Wed!H42+Fri!H42+'Mon '!H42+'Wed (2)'!H42+Sun!H42+Sat!H42)</f>
        <v>1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1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5</v>
      </c>
      <c r="N42" s="70">
        <f>('Thurs (2)'!N42+Thurs!N42+'Tues '!N42+Wed!N42+Fri!N42+'Mon '!N42+'Wed (2)'!N42+Sun!N42+Sat!N42)</f>
        <v>1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1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>
        <f>('Thurs (2)'!G43+Thurs!G43+'Tues '!G43+Wed!G43+Fri!G43+'Mon '!G43+'Wed (2)'!G43+Sun!G43+Sat!G43)</f>
        <v>8</v>
      </c>
      <c r="H43" s="70">
        <f>('Thurs (2)'!H43+Thurs!H43+'Tues '!H43+Wed!H43+Fri!H43+'Mon '!H43+'Wed (2)'!H43+Sun!H43+Sat!H43)</f>
        <v>3</v>
      </c>
      <c r="I43" s="70">
        <f>('Thurs (2)'!I43+Thurs!I43+'Tues '!I43+Wed!I43+Fri!I43+'Mon '!I43+'Wed (2)'!I43+Sun!I43+Sat!I43)</f>
        <v>1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3</v>
      </c>
      <c r="N43" s="70">
        <f>('Thurs (2)'!N43+Thurs!N43+'Tues '!N43+Wed!N43+Fri!N43+'Mon '!N43+'Wed (2)'!N43+Sun!N43+Sat!N43)</f>
        <v>2</v>
      </c>
      <c r="O43" s="70">
        <f>('Thurs (2)'!O43+Thurs!O43+'Tues '!O43+Wed!O43+Fri!O43+'Mon '!O43+'Wed (2)'!O43+Sun!O43+Sat!O43)</f>
        <v>1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1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2417</v>
      </c>
      <c r="U43" s="71">
        <f t="shared" si="3"/>
        <v>0.3333333333</v>
      </c>
      <c r="V43" s="71">
        <f t="shared" si="4"/>
        <v>0.375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70">
        <f>('Thurs (2)'!G44+Thurs!G44+'Tues '!G44+Wed!G44+Fri!G44+'Mon '!G44+'Wed (2)'!G44+Sun!G44+Sat!G44)</f>
        <v>8</v>
      </c>
      <c r="H44" s="70">
        <f>('Thurs (2)'!H44+Thurs!H44+'Tues '!H44+Wed!H44+Fri!H44+'Mon '!H44+'Wed (2)'!H44+Sun!H44+Sat!H44)</f>
        <v>4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2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1</v>
      </c>
      <c r="M44" s="70">
        <f>('Thurs (2)'!M44+Thurs!M44+'Tues '!M44+Wed!M44+Fri!M44+'Mon '!M44+'Wed (2)'!M44+Sun!M44+Sat!M44)</f>
        <v>15</v>
      </c>
      <c r="N44" s="70">
        <f>('Thurs (2)'!N44+Thurs!N44+'Tues '!N44+Wed!N44+Fri!N44+'Mon '!N44+'Wed (2)'!N44+Sun!N44+Sat!N44)</f>
        <v>2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2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1401</v>
      </c>
      <c r="U44" s="71">
        <f t="shared" si="3"/>
        <v>0</v>
      </c>
      <c r="V44" s="71">
        <f t="shared" si="4"/>
        <v>0.625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>
        <f>('Thurs (2)'!G50+Thurs!G50+'Tues '!G50+Wed!G50+Fri!G50+'Mon '!G50+'Wed (2)'!G50+Sun!G50+Sat!G50)</f>
        <v>0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>
      <c r="A51" s="73" t="s">
        <v>29</v>
      </c>
      <c r="B51" s="77"/>
      <c r="C51" s="75"/>
      <c r="D51" s="75"/>
      <c r="E51" s="75"/>
      <c r="F51" s="77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>
      <c r="A52" s="73" t="s">
        <v>29</v>
      </c>
      <c r="B52" s="74"/>
      <c r="C52" s="74"/>
      <c r="D52" s="75"/>
      <c r="E52" s="75"/>
      <c r="F52" s="77" t="s">
        <v>69</v>
      </c>
      <c r="G52" s="70">
        <f>('Thurs (2)'!G52+Thurs!G52+'Tues '!G52+Wed!G52+Fri!G52+'Mon '!G52+'Wed (2)'!G52+Sun!G52+Sat!G52)</f>
        <v>0</v>
      </c>
      <c r="H52" s="70">
        <f>('Thurs (2)'!H52+Thurs!H52+'Tues '!H52+Wed!H52+Fri!H52+'Mon '!H52+'Wed (2)'!H52+Sun!H52+Sat!H52)</f>
        <v>0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0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>
        <f>('Thurs (2)'!G53+Thurs!G53+'Tues '!G53+Wed!G53+Fri!G53+'Mon '!G53+'Wed (2)'!G53+Sun!G53+Sat!G53)</f>
        <v>6</v>
      </c>
      <c r="H53" s="70">
        <f>('Thurs (2)'!H53+Thurs!H53+'Tues '!H53+Wed!H53+Fri!H53+'Mon '!H53+'Wed (2)'!H53+Sun!H53+Sat!H53)</f>
        <v>3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3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1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2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si="5"/>
        <v>0</v>
      </c>
      <c r="V53" s="71">
        <f t="shared" si="6"/>
        <v>0.5</v>
      </c>
      <c r="W53" s="72"/>
    </row>
    <row r="54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>
        <f>('Thurs (2)'!G62+Thurs!G62+'Tues '!G62+Wed!G62+Fri!G62+'Mon '!G62+'Wed (2)'!G62+Sun!G62+Sat!G62)</f>
        <v>0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>
        <f>('Thurs (2)'!G63+Thurs!G63+'Tues '!G63+Wed!G63+Fri!G63+'Mon '!G63+'Wed (2)'!G63+Sun!G63+Sat!G63)</f>
        <v>0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>
        <f>('Thurs (2)'!G75+Thurs!G75+'Tues '!G75+Wed!G75+Fri!G75+'Mon '!G75+'Wed (2)'!G75+Sun!G75+Sat!G75)</f>
        <v>0</v>
      </c>
      <c r="H75" s="70">
        <f>('Thurs (2)'!H75+Thurs!H75+'Tues '!H75+Wed!H75+Fri!H75+'Mon '!H75+'Wed (2)'!H75+Sun!H75+Sat!H75)</f>
        <v>0</v>
      </c>
      <c r="I75" s="70">
        <f>('Thurs (2)'!I75+Thurs!I75+'Tues '!I75+Wed!I75+Fri!I75+'Mon '!I75+'Wed (2)'!I75+Sun!I75+Sat!I75)</f>
        <v>0</v>
      </c>
      <c r="J75" s="70">
        <f>('Thurs (2)'!J75+Thurs!J75+'Tues '!J75+Wed!J75+Fri!J75+'Mon '!J75+'Wed (2)'!J75+Sun!J75+Sat!J75)</f>
        <v>0</v>
      </c>
      <c r="K75" s="70">
        <f>('Thurs (2)'!K75+Thurs!K75+'Tues '!K75+Wed!K75+Fri!K75+'Mon '!K75+'Wed (2)'!K75+Sun!K75+Sat!K75)</f>
        <v>0</v>
      </c>
      <c r="L75" s="70">
        <f>('Thurs (2)'!L75+Thurs!L75+'Tues '!L75+Wed!L75+Fri!L75+'Mon '!L75+'Wed (2)'!L75+Sun!L75+Sat!L75)</f>
        <v>0</v>
      </c>
      <c r="M75" s="70">
        <f>('Thurs (2)'!M75+Thurs!M75+'Tues '!M75+Wed!M75+Fri!M75+'Mon '!M75+'Wed (2)'!M75+Sun!M75+Sat!M75)</f>
        <v>0</v>
      </c>
      <c r="N75" s="70">
        <f>('Thurs (2)'!N75+Thurs!N75+'Tues '!N75+Wed!N75+Fri!N75+'Mon '!N75+'Wed (2)'!N75+Sun!N75+Sat!N75)</f>
        <v>0</v>
      </c>
      <c r="O75" s="70">
        <f>('Thurs (2)'!O75+Thurs!O75+'Tues '!O75+Wed!O75+Fri!O75+'Mon '!O75+'Wed (2)'!O75+Sun!O75+Sat!O75)</f>
        <v>0</v>
      </c>
      <c r="P75" s="70">
        <f>('Thurs (2)'!P75+Thurs!P75+'Tues '!P75+Wed!P75+Fri!P75+'Mon '!P75+'Wed (2)'!P75+Sun!P75+Sat!P75)</f>
        <v>0</v>
      </c>
      <c r="Q75" s="70">
        <f>('Thurs (2)'!Q75+Thurs!Q75+'Tues '!Q75+Wed!Q75+Fri!Q75+'Mon '!Q75+'Wed (2)'!Q75+Sun!Q75+Sat!Q75)</f>
        <v>0</v>
      </c>
      <c r="R75" s="70">
        <f>('Thurs (2)'!R75+Thurs!R75+'Tues '!R75+Wed!R75+Fri!R75+'Mon '!R75+'Wed (2)'!R75+Sun!R75+Sat!R75)</f>
        <v>0</v>
      </c>
      <c r="S75" s="70">
        <f>('Thurs (2)'!S75+Thurs!S75+'Tues '!S75+Wed!S75+Fri!S75+'Mon '!S75+'Wed (2)'!S75+Sun!S75+Sat!S75)</f>
        <v>0</v>
      </c>
      <c r="T75" s="70">
        <f>('Thurs (2)'!T75+Thurs!T75+'Tues '!T75+Wed!T75+Fri!T75+'Mon '!T75+'Wed (2)'!T75+Sun!T75+Sat!T75)</f>
        <v>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>
        <f>('Thurs (2)'!G76+Thurs!G76+'Tues '!G76+Wed!G76+Fri!G76+'Mon '!G76+'Wed (2)'!G76+Sun!G76+Sat!G76)</f>
        <v>0</v>
      </c>
      <c r="H76" s="70">
        <f>('Thurs (2)'!H76+Thurs!H76+'Tues '!H76+Wed!H76+Fri!H76+'Mon '!H76+'Wed (2)'!H76+Sun!H76+Sat!H76)</f>
        <v>0</v>
      </c>
      <c r="I76" s="70">
        <f>('Thurs (2)'!I76+Thurs!I76+'Tues '!I76+Wed!I76+Fri!I76+'Mon '!I76+'Wed (2)'!I76+Sun!I76+Sat!I76)</f>
        <v>0</v>
      </c>
      <c r="J76" s="70">
        <f>('Thurs (2)'!J76+Thurs!J76+'Tues '!J76+Wed!J76+Fri!J76+'Mon '!J76+'Wed (2)'!J76+Sun!J76+Sat!J76)</f>
        <v>0</v>
      </c>
      <c r="K76" s="70">
        <f>('Thurs (2)'!K76+Thurs!K76+'Tues '!K76+Wed!K76+Fri!K76+'Mon '!K76+'Wed (2)'!K76+Sun!K76+Sat!K76)</f>
        <v>0</v>
      </c>
      <c r="L76" s="70">
        <f>('Thurs (2)'!L76+Thurs!L76+'Tues '!L76+Wed!L76+Fri!L76+'Mon '!L76+'Wed (2)'!L76+Sun!L76+Sat!L76)</f>
        <v>0</v>
      </c>
      <c r="M76" s="70">
        <f>('Thurs (2)'!M76+Thurs!M76+'Tues '!M76+Wed!M76+Fri!M76+'Mon '!M76+'Wed (2)'!M76+Sun!M76+Sat!M76)</f>
        <v>0</v>
      </c>
      <c r="N76" s="70">
        <f>('Thurs (2)'!N76+Thurs!N76+'Tues '!N76+Wed!N76+Fri!N76+'Mon '!N76+'Wed (2)'!N76+Sun!N76+Sat!N76)</f>
        <v>0</v>
      </c>
      <c r="O76" s="70">
        <f>('Thurs (2)'!O76+Thurs!O76+'Tues '!O76+Wed!O76+Fri!O76+'Mon '!O76+'Wed (2)'!O76+Sun!O76+Sat!O76)</f>
        <v>0</v>
      </c>
      <c r="P76" s="70">
        <f>('Thurs (2)'!P76+Thurs!P76+'Tues '!P76+Wed!P76+Fri!P76+'Mon '!P76+'Wed (2)'!P76+Sun!P76+Sat!P76)</f>
        <v>0</v>
      </c>
      <c r="Q76" s="70">
        <f>('Thurs (2)'!Q76+Thurs!Q76+'Tues '!Q76+Wed!Q76+Fri!Q76+'Mon '!Q76+'Wed (2)'!Q76+Sun!Q76+Sat!Q76)</f>
        <v>0</v>
      </c>
      <c r="R76" s="70">
        <f>('Thurs (2)'!R76+Thurs!R76+'Tues '!R76+Wed!R76+Fri!R76+'Mon '!R76+'Wed (2)'!R76+Sun!R76+Sat!R76)</f>
        <v>0</v>
      </c>
      <c r="S76" s="70">
        <f>('Thurs (2)'!S76+Thurs!S76+'Tues '!S76+Wed!S76+Fri!S76+'Mon '!S76+'Wed (2)'!S76+Sun!S76+Sat!S76)</f>
        <v>0</v>
      </c>
      <c r="T76" s="70">
        <f>('Thurs (2)'!T76+Thurs!T76+'Tues '!T76+Wed!T76+Fri!T76+'Mon '!T76+'Wed (2)'!T76+Sun!T76+Sat!T76)</f>
        <v>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>
        <f>('Thurs (2)'!G77+Thurs!G77+'Tues '!G77+Wed!G77+Fri!G77+'Mon '!G77+'Wed (2)'!G77+Sun!G77+Sat!G77)</f>
        <v>0</v>
      </c>
      <c r="H77" s="70">
        <f>('Thurs (2)'!H77+Thurs!H77+'Tues '!H77+Wed!H77+Fri!H77+'Mon '!H77+'Wed (2)'!H77+Sun!H77+Sat!H77)</f>
        <v>0</v>
      </c>
      <c r="I77" s="70">
        <f>('Thurs (2)'!I77+Thurs!I77+'Tues '!I77+Wed!I77+Fri!I77+'Mon '!I77+'Wed (2)'!I77+Sun!I77+Sat!I77)</f>
        <v>0</v>
      </c>
      <c r="J77" s="70">
        <f>('Thurs (2)'!J77+Thurs!J77+'Tues '!J77+Wed!J77+Fri!J77+'Mon '!J77+'Wed (2)'!J77+Sun!J77+Sat!J77)</f>
        <v>0</v>
      </c>
      <c r="K77" s="70">
        <f>('Thurs (2)'!K77+Thurs!K77+'Tues '!K77+Wed!K77+Fri!K77+'Mon '!K77+'Wed (2)'!K77+Sun!K77+Sat!K77)</f>
        <v>0</v>
      </c>
      <c r="L77" s="70">
        <f>('Thurs (2)'!L77+Thurs!L77+'Tues '!L77+Wed!L77+Fri!L77+'Mon '!L77+'Wed (2)'!L77+Sun!L77+Sat!L77)</f>
        <v>0</v>
      </c>
      <c r="M77" s="70">
        <f>('Thurs (2)'!M77+Thurs!M77+'Tues '!M77+Wed!M77+Fri!M77+'Mon '!M77+'Wed (2)'!M77+Sun!M77+Sat!M77)</f>
        <v>0</v>
      </c>
      <c r="N77" s="70">
        <f>('Thurs (2)'!N77+Thurs!N77+'Tues '!N77+Wed!N77+Fri!N77+'Mon '!N77+'Wed (2)'!N77+Sun!N77+Sat!N77)</f>
        <v>0</v>
      </c>
      <c r="O77" s="70">
        <f>('Thurs (2)'!O77+Thurs!O77+'Tues '!O77+Wed!O77+Fri!O77+'Mon '!O77+'Wed (2)'!O77+Sun!O77+Sat!O77)</f>
        <v>0</v>
      </c>
      <c r="P77" s="70">
        <f>('Thurs (2)'!P77+Thurs!P77+'Tues '!P77+Wed!P77+Fri!P77+'Mon '!P77+'Wed (2)'!P77+Sun!P77+Sat!P77)</f>
        <v>0</v>
      </c>
      <c r="Q77" s="70">
        <f>('Thurs (2)'!Q77+Thurs!Q77+'Tues '!Q77+Wed!Q77+Fri!Q77+'Mon '!Q77+'Wed (2)'!Q77+Sun!Q77+Sat!Q77)</f>
        <v>0</v>
      </c>
      <c r="R77" s="70">
        <f>('Thurs (2)'!R77+Thurs!R77+'Tues '!R77+Wed!R77+Fri!R77+'Mon '!R77+'Wed (2)'!R77+Sun!R77+Sat!R77)</f>
        <v>0</v>
      </c>
      <c r="S77" s="70">
        <f>('Thurs (2)'!S77+Thurs!S77+'Tues '!S77+Wed!S77+Fri!S77+'Mon '!S77+'Wed (2)'!S77+Sun!S77+Sat!S77)</f>
        <v>0</v>
      </c>
      <c r="T77" s="70">
        <f>('Thurs (2)'!T77+Thurs!T77+'Tues '!T77+Wed!T77+Fri!T77+'Mon '!T77+'Wed (2)'!T77+Sun!T77+Sat!T77)</f>
        <v>0</v>
      </c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27" t="s">
        <v>91</v>
      </c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6</v>
      </c>
      <c r="G2" s="9">
        <f t="shared" si="1"/>
        <v>4</v>
      </c>
      <c r="H2" s="9">
        <f t="shared" si="1"/>
        <v>0</v>
      </c>
      <c r="I2" s="9">
        <f t="shared" si="1"/>
        <v>1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9</v>
      </c>
      <c r="N2" s="9">
        <f t="shared" si="1"/>
        <v>2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0</v>
      </c>
      <c r="F4" s="23">
        <f>IFERROR((G2+R2)/F2,0)</f>
        <v>0.8333333333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2.25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3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9</v>
      </c>
      <c r="N5" s="33">
        <f>SUMIF(A:A,B5,N:N)</f>
        <v>2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0.8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1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1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0.0</v>
      </c>
      <c r="I31" s="128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0.0</v>
      </c>
      <c r="H33" s="128">
        <v>0.0</v>
      </c>
      <c r="I33" s="128">
        <v>0.0</v>
      </c>
      <c r="J33" s="128">
        <v>0.0</v>
      </c>
      <c r="K33" s="128">
        <v>0.0</v>
      </c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0.0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1.0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4.0</v>
      </c>
      <c r="H44" s="128">
        <v>3.0</v>
      </c>
      <c r="I44" s="128">
        <v>0.0</v>
      </c>
      <c r="J44" s="128">
        <v>2.0</v>
      </c>
      <c r="K44" s="128">
        <v>0.0</v>
      </c>
      <c r="L44" s="128">
        <v>1.0</v>
      </c>
      <c r="M44" s="128">
        <v>9.0</v>
      </c>
      <c r="N44" s="128">
        <v>2.0</v>
      </c>
      <c r="O44" s="128">
        <v>0.0</v>
      </c>
      <c r="P44" s="128">
        <v>0.0</v>
      </c>
      <c r="Q44" s="128">
        <v>0.0</v>
      </c>
      <c r="R44" s="128">
        <v>1.0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1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8">
        <v>1.0</v>
      </c>
      <c r="H53" s="128">
        <v>1.0</v>
      </c>
      <c r="I53" s="128">
        <v>0.0</v>
      </c>
      <c r="J53" s="128">
        <v>0.0</v>
      </c>
      <c r="K53" s="128">
        <v>0.0</v>
      </c>
      <c r="L53" s="128">
        <v>0.0</v>
      </c>
      <c r="M53" s="128">
        <v>0.0</v>
      </c>
      <c r="N53" s="128">
        <v>0.0</v>
      </c>
      <c r="O53" s="128">
        <v>0.0</v>
      </c>
      <c r="P53" s="128">
        <v>1.0</v>
      </c>
      <c r="Q53" s="128">
        <v>0.0</v>
      </c>
      <c r="R53" s="128">
        <v>0.0</v>
      </c>
      <c r="S53" s="128">
        <v>0.0</v>
      </c>
      <c r="T53" s="128">
        <v>0.0</v>
      </c>
      <c r="U53" s="71">
        <f t="shared" si="5"/>
        <v>0</v>
      </c>
      <c r="V53" s="71">
        <f t="shared" si="6"/>
        <v>1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1456.6</v>
      </c>
      <c r="D2" s="10"/>
      <c r="E2" s="9">
        <f t="shared" ref="E2:R2" si="1">SUM(E5,E14,E17)</f>
        <v>0</v>
      </c>
      <c r="F2" s="9">
        <f t="shared" si="1"/>
        <v>10</v>
      </c>
      <c r="G2" s="9">
        <f t="shared" si="1"/>
        <v>6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20</v>
      </c>
      <c r="N2" s="9">
        <f t="shared" si="1"/>
        <v>4</v>
      </c>
      <c r="O2" s="9">
        <f t="shared" si="1"/>
        <v>3</v>
      </c>
      <c r="P2" s="9">
        <f t="shared" si="1"/>
        <v>3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485.5333333</v>
      </c>
      <c r="F4" s="23">
        <f>IFERROR((G2+R2)/F2,0)</f>
        <v>0.7</v>
      </c>
      <c r="G4" s="23">
        <f>IFERROR(H2/G2,0)</f>
        <v>0.5</v>
      </c>
      <c r="H4" s="22">
        <f>(C2/C4)</f>
        <v>30.34583333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3.333333333</v>
      </c>
      <c r="N4" s="24"/>
      <c r="O4" s="23">
        <f>IFERROR(O2/N2,0)</f>
        <v>0.75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1456.6</v>
      </c>
      <c r="D5" s="31"/>
      <c r="E5" s="32">
        <f>SUMIFS(T:T,A:A,B5,D:D,"Y")</f>
        <v>0</v>
      </c>
      <c r="F5" s="33">
        <f>SUMIF(A:A,B5,G:G)</f>
        <v>9</v>
      </c>
      <c r="G5" s="33">
        <f>SUMIF(A:A,B5,H:H)</f>
        <v>6</v>
      </c>
      <c r="H5" s="33">
        <f>SUMIF(A:A,B5,I:I)</f>
        <v>3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1</v>
      </c>
      <c r="M5" s="33">
        <f>SUMIF(A:A,B5,M:M)</f>
        <v>20</v>
      </c>
      <c r="N5" s="33">
        <f>SUMIF(A:A,B5,N:N)</f>
        <v>4</v>
      </c>
      <c r="O5" s="33">
        <f>SUMIF(A:A,B5,O:O)</f>
        <v>3</v>
      </c>
      <c r="P5" s="33">
        <f>SUMIF(A:A,B5,J:J)</f>
        <v>3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485.5333333</v>
      </c>
      <c r="F7" s="41">
        <f>IFERROR((G5+R5)/F5,0)</f>
        <v>0.7777777778</v>
      </c>
      <c r="G7" s="41">
        <f>IFERROR(H5/G5,0)</f>
        <v>0.5</v>
      </c>
      <c r="H7" s="40">
        <f>(C5/C7)</f>
        <v>69.36190476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2.857142857</v>
      </c>
      <c r="N7" s="42"/>
      <c r="O7" s="41">
        <f>IFERROR(O5/N5,0)</f>
        <v>0.75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808</v>
      </c>
      <c r="D11" s="47"/>
      <c r="E11" s="48">
        <f>SUMIFS(T:T,B:B,B11,D:D,"Y")</f>
        <v>0</v>
      </c>
      <c r="F11" s="49">
        <f t="shared" ref="F11:R11" si="2">SUMIF(B28:B1137,B11,G28:G1137)</f>
        <v>9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1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67.33333333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2.0</v>
      </c>
      <c r="I31" s="128">
        <v>1.0</v>
      </c>
      <c r="J31" s="128">
        <v>1.0</v>
      </c>
      <c r="K31" s="128">
        <v>0.0</v>
      </c>
      <c r="L31" s="128">
        <v>1.0</v>
      </c>
      <c r="M31" s="128">
        <v>0.0</v>
      </c>
      <c r="N31" s="128">
        <v>1.0</v>
      </c>
      <c r="O31" s="128">
        <v>1.0</v>
      </c>
      <c r="P31" s="128">
        <v>0.0</v>
      </c>
      <c r="Q31" s="128">
        <v>0.0</v>
      </c>
      <c r="R31" s="128">
        <v>0.0</v>
      </c>
      <c r="S31" s="128">
        <v>0.0</v>
      </c>
      <c r="T31" s="128">
        <v>648.6</v>
      </c>
      <c r="U31" s="71">
        <f t="shared" si="3"/>
        <v>0.5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1.0</v>
      </c>
      <c r="H33" s="128">
        <v>1.0</v>
      </c>
      <c r="I33" s="128">
        <v>1.0</v>
      </c>
      <c r="J33" s="128">
        <v>0.0</v>
      </c>
      <c r="K33" s="128">
        <v>0.0</v>
      </c>
      <c r="L33" s="128">
        <v>0.0</v>
      </c>
      <c r="M33" s="128">
        <v>8.0</v>
      </c>
      <c r="N33" s="128">
        <v>1.0</v>
      </c>
      <c r="O33" s="128">
        <v>1.0</v>
      </c>
      <c r="P33" s="128">
        <v>0.0</v>
      </c>
      <c r="Q33" s="128">
        <v>0.0</v>
      </c>
      <c r="R33" s="128">
        <v>1.0</v>
      </c>
      <c r="S33" s="128">
        <v>1.0</v>
      </c>
      <c r="T33" s="128">
        <v>0.0</v>
      </c>
      <c r="U33" s="71">
        <f t="shared" si="3"/>
        <v>1</v>
      </c>
      <c r="V33" s="71">
        <f t="shared" si="4"/>
        <v>1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1.0</v>
      </c>
      <c r="H34" s="128">
        <v>1.0</v>
      </c>
      <c r="I34" s="128">
        <v>1.0</v>
      </c>
      <c r="J34" s="128">
        <v>0.0</v>
      </c>
      <c r="K34" s="128">
        <v>0.0</v>
      </c>
      <c r="L34" s="128">
        <v>0.0</v>
      </c>
      <c r="M34" s="128">
        <v>3.0</v>
      </c>
      <c r="N34" s="128">
        <v>1.0</v>
      </c>
      <c r="O34" s="128">
        <v>1.0</v>
      </c>
      <c r="P34" s="128">
        <v>0.0</v>
      </c>
      <c r="Q34" s="128">
        <v>0.0</v>
      </c>
      <c r="R34" s="128">
        <v>0.0</v>
      </c>
      <c r="S34" s="128">
        <v>0.0</v>
      </c>
      <c r="T34" s="128">
        <v>808.0</v>
      </c>
      <c r="U34" s="71">
        <f t="shared" si="3"/>
        <v>1</v>
      </c>
      <c r="V34" s="71">
        <f t="shared" si="4"/>
        <v>1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1.0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1.0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8">
        <v>1.0</v>
      </c>
      <c r="H39" s="128">
        <v>1.0</v>
      </c>
      <c r="I39" s="128">
        <v>0.0</v>
      </c>
      <c r="J39" s="128">
        <v>1.0</v>
      </c>
      <c r="K39" s="128">
        <v>0.0</v>
      </c>
      <c r="L39" s="128">
        <v>0.0</v>
      </c>
      <c r="M39" s="128">
        <v>6.0</v>
      </c>
      <c r="N39" s="128">
        <v>0.0</v>
      </c>
      <c r="O39" s="128">
        <v>0.0</v>
      </c>
      <c r="P39" s="128">
        <v>0.0</v>
      </c>
      <c r="Q39" s="128">
        <v>0.0</v>
      </c>
      <c r="R39" s="128">
        <v>1.0</v>
      </c>
      <c r="S39" s="128">
        <v>0.0</v>
      </c>
      <c r="T39" s="128">
        <v>0.0</v>
      </c>
      <c r="U39" s="71">
        <f t="shared" si="3"/>
        <v>0</v>
      </c>
      <c r="V39" s="71">
        <f t="shared" si="4"/>
        <v>1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2.0</v>
      </c>
      <c r="H41" s="128">
        <v>1.0</v>
      </c>
      <c r="I41" s="128">
        <v>0.0</v>
      </c>
      <c r="J41" s="128">
        <v>1.0</v>
      </c>
      <c r="K41" s="128">
        <v>0.0</v>
      </c>
      <c r="L41" s="128">
        <v>0.0</v>
      </c>
      <c r="M41" s="128">
        <v>3.0</v>
      </c>
      <c r="N41" s="128">
        <v>1.0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0.5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2.0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8">
        <v>1.0</v>
      </c>
      <c r="H53" s="128">
        <v>0.0</v>
      </c>
      <c r="I53" s="128">
        <v>0.0</v>
      </c>
      <c r="J53" s="128">
        <v>0.0</v>
      </c>
      <c r="K53" s="128">
        <v>0.0</v>
      </c>
      <c r="L53" s="128">
        <v>0.0</v>
      </c>
      <c r="M53" s="128">
        <v>0.0</v>
      </c>
      <c r="N53" s="128">
        <v>0.0</v>
      </c>
      <c r="O53" s="128">
        <v>0.0</v>
      </c>
      <c r="P53" s="128">
        <v>0.0</v>
      </c>
      <c r="Q53" s="128">
        <v>0.0</v>
      </c>
      <c r="R53" s="128">
        <v>0.0</v>
      </c>
      <c r="S53" s="128">
        <v>0.0</v>
      </c>
      <c r="T53" s="128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1401</v>
      </c>
      <c r="D2" s="10"/>
      <c r="E2" s="9">
        <f t="shared" ref="E2:R2" si="1">SUM(E5,E14,E17)</f>
        <v>0</v>
      </c>
      <c r="F2" s="9">
        <f t="shared" si="1"/>
        <v>8</v>
      </c>
      <c r="G2" s="9">
        <f t="shared" si="1"/>
        <v>4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9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0</v>
      </c>
      <c r="F4" s="23">
        <f>IFERROR((G2+R2)/F2,0)</f>
        <v>0.625</v>
      </c>
      <c r="G4" s="23">
        <f>IFERROR(H2/G2,0)</f>
        <v>0</v>
      </c>
      <c r="H4" s="22">
        <f>(C2/C4)</f>
        <v>29.1875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2.25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1401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9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0.7142857143</v>
      </c>
      <c r="G7" s="41">
        <f>IFERROR(H5/G5,0)</f>
        <v>0</v>
      </c>
      <c r="H7" s="40">
        <f>(C5/C7)</f>
        <v>66.71428571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1.8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1401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116.75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1.0</v>
      </c>
      <c r="I31" s="128">
        <v>0.0</v>
      </c>
      <c r="J31" s="128">
        <v>1.0</v>
      </c>
      <c r="K31" s="128">
        <v>0.0</v>
      </c>
      <c r="L31" s="128">
        <v>1.0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0.0</v>
      </c>
      <c r="H33" s="128">
        <v>0.0</v>
      </c>
      <c r="I33" s="128">
        <v>0.0</v>
      </c>
      <c r="J33" s="128">
        <v>0.0</v>
      </c>
      <c r="K33" s="128">
        <v>0.0</v>
      </c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1.0</v>
      </c>
      <c r="H34" s="128">
        <v>1.0</v>
      </c>
      <c r="I34" s="128">
        <v>0.0</v>
      </c>
      <c r="J34" s="128">
        <v>0.0</v>
      </c>
      <c r="K34" s="128">
        <v>0.0</v>
      </c>
      <c r="L34" s="128">
        <v>0.0</v>
      </c>
      <c r="M34" s="128">
        <v>3.0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1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1.0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2.0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1.0</v>
      </c>
      <c r="H43" s="128">
        <v>1.0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1.0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1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2.0</v>
      </c>
      <c r="H44" s="128">
        <v>1.0</v>
      </c>
      <c r="I44" s="128">
        <v>0.0</v>
      </c>
      <c r="J44" s="128">
        <v>0.0</v>
      </c>
      <c r="K44" s="128">
        <v>0.0</v>
      </c>
      <c r="L44" s="128">
        <v>0.0</v>
      </c>
      <c r="M44" s="128">
        <v>6.0</v>
      </c>
      <c r="N44" s="128">
        <v>0.0</v>
      </c>
      <c r="O44" s="128">
        <v>0.0</v>
      </c>
      <c r="P44" s="128">
        <v>0.0</v>
      </c>
      <c r="Q44" s="128">
        <v>0.0</v>
      </c>
      <c r="R44" s="128">
        <v>1.0</v>
      </c>
      <c r="S44" s="128">
        <v>0.0</v>
      </c>
      <c r="T44" s="128">
        <v>1401.0</v>
      </c>
      <c r="U44" s="71">
        <f t="shared" si="3"/>
        <v>0</v>
      </c>
      <c r="V44" s="71">
        <f t="shared" si="4"/>
        <v>0.5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8">
        <v>1.0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128">
        <v>0.0</v>
      </c>
      <c r="H54" s="128">
        <v>0.0</v>
      </c>
      <c r="I54" s="128">
        <v>0.0</v>
      </c>
      <c r="J54" s="128">
        <v>0.0</v>
      </c>
      <c r="K54" s="128">
        <v>0.0</v>
      </c>
      <c r="L54" s="128">
        <v>0.0</v>
      </c>
      <c r="M54" s="128">
        <v>0.0</v>
      </c>
      <c r="N54" s="128">
        <v>0.0</v>
      </c>
      <c r="O54" s="128">
        <v>0.0</v>
      </c>
      <c r="P54" s="128">
        <v>0.0</v>
      </c>
      <c r="Q54" s="128">
        <v>0.0</v>
      </c>
      <c r="R54" s="128">
        <v>0.0</v>
      </c>
      <c r="S54" s="128">
        <v>0.0</v>
      </c>
      <c r="T54" s="128">
        <v>0.0</v>
      </c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6749</v>
      </c>
      <c r="D2" s="10"/>
      <c r="E2" s="9">
        <f t="shared" ref="E2:R2" si="1">SUM(E5,E14,E17)</f>
        <v>1039</v>
      </c>
      <c r="F2" s="9">
        <f t="shared" si="1"/>
        <v>5</v>
      </c>
      <c r="G2" s="9">
        <f t="shared" si="1"/>
        <v>3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3</v>
      </c>
      <c r="N2" s="9">
        <f t="shared" si="1"/>
        <v>3</v>
      </c>
      <c r="O2" s="9">
        <f t="shared" si="1"/>
        <v>3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2249.666667</v>
      </c>
      <c r="F4" s="23">
        <f>IFERROR((G2+R2)/F2,0)</f>
        <v>0.6</v>
      </c>
      <c r="G4" s="23">
        <f>IFERROR(H2/G2,0)</f>
        <v>1</v>
      </c>
      <c r="H4" s="22">
        <f>(C2/C4)</f>
        <v>140.6041667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6749</v>
      </c>
      <c r="D5" s="31"/>
      <c r="E5" s="32">
        <f>SUMIFS(T:T,A:A,B5,D:D,"Y")</f>
        <v>1039</v>
      </c>
      <c r="F5" s="33">
        <f>SUMIF(A:A,B5,G:G)</f>
        <v>5</v>
      </c>
      <c r="G5" s="33">
        <f>SUMIF(A:A,B5,H:H)</f>
        <v>3</v>
      </c>
      <c r="H5" s="33">
        <f>SUMIF(A:A,B5,I:I)</f>
        <v>3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3</v>
      </c>
      <c r="N5" s="33">
        <f>SUMIF(A:A,B5,N:N)</f>
        <v>3</v>
      </c>
      <c r="O5" s="33">
        <f>SUMIF(A:A,B5,O:O)</f>
        <v>3</v>
      </c>
      <c r="P5" s="33">
        <f>SUMIF(A:A,B5,J:J)</f>
        <v>1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2249.666667</v>
      </c>
      <c r="F7" s="41">
        <f>IFERROR((G5+R5)/F5,0)</f>
        <v>0.6</v>
      </c>
      <c r="G7" s="41">
        <f>IFERROR(H5/G5,0)</f>
        <v>1</v>
      </c>
      <c r="H7" s="40">
        <f>(C5/C7)</f>
        <v>321.3809524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</v>
      </c>
      <c r="N7" s="42"/>
      <c r="O7" s="41">
        <f>IFERROR(O5/N5,0)</f>
        <v>1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6749</v>
      </c>
      <c r="D11" s="47"/>
      <c r="E11" s="48">
        <f>SUMIFS(T:T,B:B,B11,D:D,"Y")</f>
        <v>1039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562.4166667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1.0</v>
      </c>
      <c r="H31" s="128">
        <v>0.0</v>
      </c>
      <c r="I31" s="128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2.0</v>
      </c>
      <c r="H33" s="128">
        <v>1.0</v>
      </c>
      <c r="I33" s="128">
        <v>1.0</v>
      </c>
      <c r="J33" s="128">
        <v>0.0</v>
      </c>
      <c r="K33" s="128">
        <v>0.0</v>
      </c>
      <c r="L33" s="128">
        <v>0.0</v>
      </c>
      <c r="M33" s="128">
        <v>0.0</v>
      </c>
      <c r="N33" s="128">
        <v>1.0</v>
      </c>
      <c r="O33" s="128">
        <v>1.0</v>
      </c>
      <c r="P33" s="128">
        <v>0.0</v>
      </c>
      <c r="Q33" s="128">
        <v>0.0</v>
      </c>
      <c r="R33" s="128">
        <v>0.0</v>
      </c>
      <c r="S33" s="128">
        <v>0.0</v>
      </c>
      <c r="T33" s="128">
        <v>1039.0</v>
      </c>
      <c r="U33" s="71">
        <f t="shared" si="3"/>
        <v>1</v>
      </c>
      <c r="V33" s="71">
        <f t="shared" si="4"/>
        <v>0.5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0.0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1.0</v>
      </c>
      <c r="H36" s="128">
        <v>1.0</v>
      </c>
      <c r="I36" s="128">
        <v>1.0</v>
      </c>
      <c r="J36" s="128">
        <v>1.0</v>
      </c>
      <c r="K36" s="128">
        <v>1.0</v>
      </c>
      <c r="L36" s="128">
        <v>0.0</v>
      </c>
      <c r="M36" s="128">
        <v>0.0</v>
      </c>
      <c r="N36" s="128">
        <v>1.0</v>
      </c>
      <c r="O36" s="128">
        <v>1.0</v>
      </c>
      <c r="P36" s="128">
        <v>0.0</v>
      </c>
      <c r="Q36" s="128">
        <v>0.0</v>
      </c>
      <c r="R36" s="128">
        <v>0.0</v>
      </c>
      <c r="S36" s="128">
        <v>0.0</v>
      </c>
      <c r="T36" s="128">
        <v>3293.0</v>
      </c>
      <c r="U36" s="71">
        <f t="shared" si="3"/>
        <v>1</v>
      </c>
      <c r="V36" s="71">
        <f t="shared" si="4"/>
        <v>1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1.0</v>
      </c>
      <c r="H43" s="128">
        <v>1.0</v>
      </c>
      <c r="I43" s="128">
        <v>1.0</v>
      </c>
      <c r="J43" s="128">
        <v>0.0</v>
      </c>
      <c r="K43" s="128">
        <v>0.0</v>
      </c>
      <c r="L43" s="128">
        <v>0.0</v>
      </c>
      <c r="M43" s="128">
        <v>3.0</v>
      </c>
      <c r="N43" s="128">
        <v>1.0</v>
      </c>
      <c r="O43" s="128">
        <v>1.0</v>
      </c>
      <c r="P43" s="128">
        <v>0.0</v>
      </c>
      <c r="Q43" s="128">
        <v>0.0</v>
      </c>
      <c r="R43" s="128">
        <v>0.0</v>
      </c>
      <c r="S43" s="128">
        <v>0.0</v>
      </c>
      <c r="T43" s="128">
        <v>2417.0</v>
      </c>
      <c r="U43" s="71">
        <f t="shared" si="3"/>
        <v>1</v>
      </c>
      <c r="V43" s="71">
        <f t="shared" si="4"/>
        <v>1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0.0</v>
      </c>
      <c r="I31" s="128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0.0</v>
      </c>
      <c r="H33" s="128">
        <v>0.0</v>
      </c>
      <c r="I33" s="128">
        <v>0.0</v>
      </c>
      <c r="J33" s="128">
        <v>0.0</v>
      </c>
      <c r="K33" s="128">
        <v>0.0</v>
      </c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0.0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0.0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2.0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3544.36</v>
      </c>
      <c r="D2" s="10"/>
      <c r="E2" s="9">
        <f t="shared" ref="E2:R2" si="1">SUM(E5,E14,E17)</f>
        <v>0</v>
      </c>
      <c r="F2" s="9">
        <f t="shared" si="1"/>
        <v>10</v>
      </c>
      <c r="G2" s="9">
        <f t="shared" si="1"/>
        <v>7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2</v>
      </c>
      <c r="M2" s="9">
        <f t="shared" si="1"/>
        <v>11</v>
      </c>
      <c r="N2" s="9">
        <f t="shared" si="1"/>
        <v>2</v>
      </c>
      <c r="O2" s="9">
        <f t="shared" si="1"/>
        <v>0</v>
      </c>
      <c r="P2" s="9">
        <f t="shared" si="1"/>
        <v>3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1772.18</v>
      </c>
      <c r="F4" s="23">
        <f>IFERROR((G2+R2)/F2,0)</f>
        <v>0.7</v>
      </c>
      <c r="G4" s="23">
        <f>IFERROR(H2/G2,0)</f>
        <v>0.2857142857</v>
      </c>
      <c r="H4" s="22">
        <f>(C2/C4)</f>
        <v>73.84083333</v>
      </c>
      <c r="I4" s="24"/>
      <c r="J4" s="23">
        <f>IFERROR(J2/I2,0)</f>
        <v>0</v>
      </c>
      <c r="K4" s="24"/>
      <c r="L4" s="23">
        <f>IFERROR(L2/K2,0)</f>
        <v>0.4</v>
      </c>
      <c r="M4" s="25">
        <f>IFERROR(M2/G2,0)</f>
        <v>1.571428571</v>
      </c>
      <c r="N4" s="24"/>
      <c r="O4" s="23">
        <f>IFERROR(O2/N2,0)</f>
        <v>0</v>
      </c>
      <c r="P4" s="26"/>
      <c r="Q4" s="23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3544.36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5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2</v>
      </c>
      <c r="M5" s="33">
        <f>SUMIF(A:A,B5,M:M)</f>
        <v>10</v>
      </c>
      <c r="N5" s="33">
        <f>SUMIF(A:A,B5,N:N)</f>
        <v>2</v>
      </c>
      <c r="O5" s="33">
        <f>SUMIF(A:A,B5,O:O)</f>
        <v>0</v>
      </c>
      <c r="P5" s="33">
        <f>SUMIF(A:A,B5,J:J)</f>
        <v>3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1772.18</v>
      </c>
      <c r="F7" s="41">
        <f>IFERROR((G5+R5)/F5,0)</f>
        <v>0.625</v>
      </c>
      <c r="G7" s="41">
        <f>IFERROR(H5/G5,0)</f>
        <v>0.4</v>
      </c>
      <c r="H7" s="40">
        <f>(C5/C7)</f>
        <v>168.7790476</v>
      </c>
      <c r="I7" s="42"/>
      <c r="J7" s="41">
        <f>IFERROR(J5/I5,0)</f>
        <v>0</v>
      </c>
      <c r="K7" s="42"/>
      <c r="L7" s="41">
        <f>IFERROR(L5/K5,0)</f>
        <v>0.6666666667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0.3333333333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0.2857142857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1.0</v>
      </c>
      <c r="H31" s="128">
        <v>2.0</v>
      </c>
      <c r="I31" s="128">
        <v>2.0</v>
      </c>
      <c r="J31" s="128">
        <v>1.0</v>
      </c>
      <c r="K31" s="128">
        <v>1.0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2.0</v>
      </c>
      <c r="S31" s="128">
        <v>2.0</v>
      </c>
      <c r="T31" s="128">
        <v>3544.36</v>
      </c>
      <c r="U31" s="71">
        <f t="shared" si="3"/>
        <v>1</v>
      </c>
      <c r="V31" s="71">
        <f t="shared" si="4"/>
        <v>2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0.0</v>
      </c>
      <c r="H33" s="128">
        <v>0.0</v>
      </c>
      <c r="I33" s="128">
        <v>0.0</v>
      </c>
      <c r="J33" s="128">
        <v>0.0</v>
      </c>
      <c r="K33" s="128">
        <v>0.0</v>
      </c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0.0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0.0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8">
        <v>3.0</v>
      </c>
      <c r="H39" s="128">
        <v>1.0</v>
      </c>
      <c r="I39" s="128">
        <v>0.0</v>
      </c>
      <c r="J39" s="128">
        <v>1.0</v>
      </c>
      <c r="K39" s="128">
        <v>0.0</v>
      </c>
      <c r="L39" s="128">
        <v>0.0</v>
      </c>
      <c r="M39" s="128">
        <v>5.0</v>
      </c>
      <c r="N39" s="128">
        <v>0.0</v>
      </c>
      <c r="O39" s="128">
        <v>0.0</v>
      </c>
      <c r="P39" s="128">
        <v>0.0</v>
      </c>
      <c r="Q39" s="128">
        <v>0.0</v>
      </c>
      <c r="R39" s="128">
        <v>1.0</v>
      </c>
      <c r="S39" s="128">
        <v>0.0</v>
      </c>
      <c r="T39" s="128">
        <v>0.0</v>
      </c>
      <c r="U39" s="71">
        <f t="shared" si="3"/>
        <v>0</v>
      </c>
      <c r="V39" s="71">
        <f t="shared" si="4"/>
        <v>0.3333333333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1.0</v>
      </c>
      <c r="H42" s="128">
        <v>1.0</v>
      </c>
      <c r="I42" s="128">
        <v>0.0</v>
      </c>
      <c r="J42" s="128">
        <v>1.0</v>
      </c>
      <c r="K42" s="128">
        <v>0.0</v>
      </c>
      <c r="L42" s="128">
        <v>0.0</v>
      </c>
      <c r="M42" s="128">
        <v>5.0</v>
      </c>
      <c r="N42" s="128">
        <v>1.0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1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3.0</v>
      </c>
      <c r="H43" s="128">
        <v>1.0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1.0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0.3333333333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8">
        <v>2.0</v>
      </c>
      <c r="H53" s="128">
        <v>2.0</v>
      </c>
      <c r="I53" s="128">
        <v>0.0</v>
      </c>
      <c r="J53" s="128">
        <v>0.0</v>
      </c>
      <c r="K53" s="128">
        <v>0.0</v>
      </c>
      <c r="L53" s="128">
        <v>0.0</v>
      </c>
      <c r="M53" s="128">
        <v>1.0</v>
      </c>
      <c r="N53" s="128">
        <v>0.0</v>
      </c>
      <c r="O53" s="128">
        <v>0.0</v>
      </c>
      <c r="P53" s="128">
        <v>0.0</v>
      </c>
      <c r="Q53" s="128">
        <v>0.0</v>
      </c>
      <c r="R53" s="128">
        <v>2.0</v>
      </c>
      <c r="S53" s="128">
        <v>0.0</v>
      </c>
      <c r="T53" s="128">
        <v>0.0</v>
      </c>
      <c r="U53" s="71">
        <f t="shared" si="5"/>
        <v>0</v>
      </c>
      <c r="V53" s="71">
        <f t="shared" si="6"/>
        <v>1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4117</v>
      </c>
      <c r="D2" s="10"/>
      <c r="E2" s="9">
        <f t="shared" ref="E2:R2" si="1">SUM(E5,E14,E17)</f>
        <v>2163</v>
      </c>
      <c r="F2" s="9">
        <f t="shared" si="1"/>
        <v>8</v>
      </c>
      <c r="G2" s="9">
        <f t="shared" si="1"/>
        <v>5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1</v>
      </c>
      <c r="M2" s="9">
        <f t="shared" si="1"/>
        <v>53</v>
      </c>
      <c r="N2" s="9">
        <f t="shared" si="1"/>
        <v>2</v>
      </c>
      <c r="O2" s="9">
        <f t="shared" si="1"/>
        <v>2</v>
      </c>
      <c r="P2" s="9">
        <f t="shared" si="1"/>
        <v>2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1372.333333</v>
      </c>
      <c r="F4" s="23">
        <f>IFERROR((G2+R2)/F2,0)</f>
        <v>0.75</v>
      </c>
      <c r="G4" s="23">
        <f>IFERROR(H2/G2,0)</f>
        <v>0.6</v>
      </c>
      <c r="H4" s="22">
        <f>(C2/C4)</f>
        <v>85.77083333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10.6</v>
      </c>
      <c r="N4" s="24"/>
      <c r="O4" s="23">
        <f>IFERROR(O2/N2,0)</f>
        <v>1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4117</v>
      </c>
      <c r="D5" s="31"/>
      <c r="E5" s="32">
        <f>SUMIFS(T:T,A:A,B5,D:D,"Y")</f>
        <v>2163</v>
      </c>
      <c r="F5" s="33">
        <f>SUMIF(A:A,B5,G:G)</f>
        <v>7</v>
      </c>
      <c r="G5" s="33">
        <f>SUMIF(A:A,B5,H:H)</f>
        <v>5</v>
      </c>
      <c r="H5" s="33">
        <f>SUMIF(A:A,B5,I:I)</f>
        <v>3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51</v>
      </c>
      <c r="N5" s="33">
        <f>SUMIF(A:A,B5,N:N)</f>
        <v>2</v>
      </c>
      <c r="O5" s="33">
        <f>SUMIF(A:A,B5,O:O)</f>
        <v>2</v>
      </c>
      <c r="P5" s="33">
        <f>SUMIF(A:A,B5,J:J)</f>
        <v>2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1372.333333</v>
      </c>
      <c r="F7" s="41">
        <f>IFERROR((G5+R5)/F5,0)</f>
        <v>0.8571428571</v>
      </c>
      <c r="G7" s="41">
        <f>IFERROR(H5/G5,0)</f>
        <v>0.6</v>
      </c>
      <c r="H7" s="40">
        <f>(C5/C7)</f>
        <v>196.047619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8.5</v>
      </c>
      <c r="N7" s="42"/>
      <c r="O7" s="41">
        <f>IFERROR(O5/N5,0)</f>
        <v>1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4117</v>
      </c>
      <c r="D11" s="47"/>
      <c r="E11" s="48">
        <f>SUMIFS(T:T,B:B,B11,D:D,"Y")</f>
        <v>2163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2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0.1428571429</v>
      </c>
      <c r="G13" s="23">
        <f>IFERROR(H11/G11,0)</f>
        <v>0</v>
      </c>
      <c r="H13" s="22">
        <f>(C11/C13)</f>
        <v>343.0833333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0.0</v>
      </c>
      <c r="I31" s="128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8">
        <v>1.0</v>
      </c>
      <c r="H33" s="128">
        <v>1.0</v>
      </c>
      <c r="I33" s="128">
        <v>1.0</v>
      </c>
      <c r="J33" s="128">
        <v>0.0</v>
      </c>
      <c r="K33" s="128">
        <v>0.0</v>
      </c>
      <c r="L33" s="128">
        <v>0.0</v>
      </c>
      <c r="M33" s="128">
        <v>18.0</v>
      </c>
      <c r="N33" s="128">
        <v>1.0</v>
      </c>
      <c r="O33" s="128">
        <v>1.0</v>
      </c>
      <c r="P33" s="128">
        <v>0.0</v>
      </c>
      <c r="Q33" s="128">
        <v>0.0</v>
      </c>
      <c r="R33" s="128">
        <v>0.0</v>
      </c>
      <c r="S33" s="128">
        <v>0.0</v>
      </c>
      <c r="T33" s="128">
        <v>2163.0</v>
      </c>
      <c r="U33" s="71">
        <f t="shared" si="3"/>
        <v>1</v>
      </c>
      <c r="V33" s="71">
        <f t="shared" si="4"/>
        <v>1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8">
        <v>2.0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8">
        <v>0.0</v>
      </c>
      <c r="H35" s="128">
        <v>0.0</v>
      </c>
      <c r="I35" s="128">
        <v>0.0</v>
      </c>
      <c r="J35" s="128">
        <v>0.0</v>
      </c>
      <c r="K35" s="128">
        <v>0.0</v>
      </c>
      <c r="L35" s="128">
        <v>0.0</v>
      </c>
      <c r="M35" s="128">
        <v>0.0</v>
      </c>
      <c r="N35" s="128">
        <v>0.0</v>
      </c>
      <c r="O35" s="128">
        <v>0.0</v>
      </c>
      <c r="P35" s="128">
        <v>0.0</v>
      </c>
      <c r="Q35" s="128">
        <v>0.0</v>
      </c>
      <c r="R35" s="128">
        <v>0.0</v>
      </c>
      <c r="S35" s="128">
        <v>0.0</v>
      </c>
      <c r="T35" s="128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8">
        <v>0.0</v>
      </c>
      <c r="H36" s="128">
        <v>0.0</v>
      </c>
      <c r="I36" s="128">
        <v>0.0</v>
      </c>
      <c r="J36" s="128">
        <v>0.0</v>
      </c>
      <c r="K36" s="128">
        <v>0.0</v>
      </c>
      <c r="L36" s="128">
        <v>0.0</v>
      </c>
      <c r="M36" s="128">
        <v>0.0</v>
      </c>
      <c r="N36" s="128">
        <v>0.0</v>
      </c>
      <c r="O36" s="128">
        <v>0.0</v>
      </c>
      <c r="P36" s="128">
        <v>0.0</v>
      </c>
      <c r="Q36" s="128">
        <v>0.0</v>
      </c>
      <c r="R36" s="128">
        <v>0.0</v>
      </c>
      <c r="S36" s="128">
        <v>0.0</v>
      </c>
      <c r="T36" s="128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8">
        <v>0.0</v>
      </c>
      <c r="H38" s="128">
        <v>0.0</v>
      </c>
      <c r="I38" s="128">
        <v>0.0</v>
      </c>
      <c r="J38" s="128">
        <v>0.0</v>
      </c>
      <c r="K38" s="128">
        <v>0.0</v>
      </c>
      <c r="L38" s="128">
        <v>0.0</v>
      </c>
      <c r="M38" s="128">
        <v>0.0</v>
      </c>
      <c r="N38" s="128">
        <v>0.0</v>
      </c>
      <c r="O38" s="128">
        <v>0.0</v>
      </c>
      <c r="P38" s="128">
        <v>0.0</v>
      </c>
      <c r="Q38" s="128">
        <v>0.0</v>
      </c>
      <c r="R38" s="128">
        <v>0.0</v>
      </c>
      <c r="S38" s="128">
        <v>0.0</v>
      </c>
      <c r="T38" s="128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128">
        <v>2.0</v>
      </c>
      <c r="H39" s="128">
        <v>2.0</v>
      </c>
      <c r="I39" s="128">
        <v>2.0</v>
      </c>
      <c r="J39" s="128">
        <v>1.0</v>
      </c>
      <c r="K39" s="128">
        <v>1.0</v>
      </c>
      <c r="L39" s="128">
        <v>0.0</v>
      </c>
      <c r="M39" s="128">
        <v>15.0</v>
      </c>
      <c r="N39" s="128">
        <v>1.0</v>
      </c>
      <c r="O39" s="128">
        <v>1.0</v>
      </c>
      <c r="P39" s="128">
        <v>0.0</v>
      </c>
      <c r="Q39" s="128">
        <v>0.0</v>
      </c>
      <c r="R39" s="128">
        <v>1.0</v>
      </c>
      <c r="S39" s="128">
        <v>1.0</v>
      </c>
      <c r="T39" s="128">
        <v>1954.0</v>
      </c>
      <c r="U39" s="71">
        <f t="shared" si="3"/>
        <v>1</v>
      </c>
      <c r="V39" s="71">
        <f t="shared" si="4"/>
        <v>1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128">
        <v>1.0</v>
      </c>
      <c r="H41" s="128">
        <v>2.0</v>
      </c>
      <c r="I41" s="128">
        <v>0.0</v>
      </c>
      <c r="J41" s="128">
        <v>1.0</v>
      </c>
      <c r="K41" s="128">
        <v>0.0</v>
      </c>
      <c r="L41" s="128">
        <v>1.0</v>
      </c>
      <c r="M41" s="128">
        <v>18.0</v>
      </c>
      <c r="N41" s="128">
        <v>0.0</v>
      </c>
      <c r="O41" s="128">
        <v>0.0</v>
      </c>
      <c r="P41" s="128">
        <v>0.0</v>
      </c>
      <c r="Q41" s="128">
        <v>0.0</v>
      </c>
      <c r="R41" s="128">
        <v>2.0</v>
      </c>
      <c r="S41" s="128">
        <v>0.0</v>
      </c>
      <c r="T41" s="128">
        <v>0.0</v>
      </c>
      <c r="U41" s="71">
        <f t="shared" si="3"/>
        <v>0</v>
      </c>
      <c r="V41" s="71">
        <f t="shared" si="4"/>
        <v>3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128">
        <v>1.0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8">
        <v>1.0</v>
      </c>
      <c r="H53" s="128">
        <v>0.0</v>
      </c>
      <c r="I53" s="128">
        <v>0.0</v>
      </c>
      <c r="J53" s="128">
        <v>0.0</v>
      </c>
      <c r="K53" s="128">
        <v>0.0</v>
      </c>
      <c r="L53" s="128">
        <v>0.0</v>
      </c>
      <c r="M53" s="128">
        <v>2.0</v>
      </c>
      <c r="N53" s="128">
        <v>0.0</v>
      </c>
      <c r="O53" s="128">
        <v>0.0</v>
      </c>
      <c r="P53" s="128">
        <v>0.0</v>
      </c>
      <c r="Q53" s="128">
        <v>0.0</v>
      </c>
      <c r="R53" s="128">
        <v>0.0</v>
      </c>
      <c r="S53" s="128">
        <v>0.0</v>
      </c>
      <c r="T53" s="128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8">
        <v>0.0</v>
      </c>
      <c r="H31" s="128">
        <v>0.0</v>
      </c>
      <c r="I31" s="128">
        <v>0.0</v>
      </c>
      <c r="J31" s="128">
        <v>0.0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48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COUNTIFS(B41:B1137,B23)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90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91"/>
      <c r="E39" s="89"/>
      <c r="F39" s="87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90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92" t="s">
        <v>26</v>
      </c>
      <c r="B41" s="93" t="s">
        <v>28</v>
      </c>
      <c r="C41" s="93" t="s">
        <v>61</v>
      </c>
      <c r="D41" s="93" t="s">
        <v>49</v>
      </c>
      <c r="E41" s="75"/>
      <c r="F41" s="93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74" t="s">
        <v>61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61</v>
      </c>
      <c r="D43" s="76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61</v>
      </c>
      <c r="D44" s="75"/>
      <c r="E44" s="75"/>
      <c r="F44" s="77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8" t="s">
        <v>26</v>
      </c>
      <c r="B45" s="79" t="s">
        <v>27</v>
      </c>
      <c r="C45" s="94"/>
      <c r="D45" s="79" t="s">
        <v>49</v>
      </c>
      <c r="E45" s="95"/>
      <c r="F45" s="79" t="s">
        <v>27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4" si="5">IFERROR(I50/H50,0)</f>
        <v>0</v>
      </c>
      <c r="V50" s="71">
        <f t="shared" ref="V50:V54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73" t="s">
        <v>29</v>
      </c>
      <c r="B52" s="74"/>
      <c r="C52" s="74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20.25" customHeight="1">
      <c r="A55" s="61" t="s">
        <v>33</v>
      </c>
      <c r="B55" s="62" t="s">
        <v>34</v>
      </c>
      <c r="C55" s="62" t="s">
        <v>35</v>
      </c>
      <c r="D55" s="63"/>
      <c r="E55" s="62" t="s">
        <v>36</v>
      </c>
      <c r="F55" s="62" t="s">
        <v>37</v>
      </c>
      <c r="G55" s="64" t="s">
        <v>38</v>
      </c>
      <c r="H55" s="64" t="s">
        <v>39</v>
      </c>
      <c r="I55" s="64" t="s">
        <v>40</v>
      </c>
      <c r="J55" s="64" t="s">
        <v>12</v>
      </c>
      <c r="K55" s="64" t="s">
        <v>41</v>
      </c>
      <c r="L55" s="64" t="s">
        <v>14</v>
      </c>
      <c r="M55" s="64" t="s">
        <v>9</v>
      </c>
      <c r="N55" s="64" t="s">
        <v>10</v>
      </c>
      <c r="O55" s="64" t="s">
        <v>42</v>
      </c>
      <c r="P55" s="64" t="s">
        <v>5</v>
      </c>
      <c r="Q55" s="64" t="s">
        <v>43</v>
      </c>
      <c r="R55" s="64" t="s">
        <v>44</v>
      </c>
      <c r="S55" s="64" t="s">
        <v>45</v>
      </c>
      <c r="T55" s="64" t="s">
        <v>0</v>
      </c>
      <c r="U55" s="62" t="s">
        <v>46</v>
      </c>
      <c r="V55" s="62" t="s">
        <v>47</v>
      </c>
      <c r="W55" s="97"/>
    </row>
    <row r="56" ht="12.75" customHeight="1">
      <c r="A56" s="101" t="s">
        <v>30</v>
      </c>
      <c r="B56" s="59"/>
      <c r="C56" s="59"/>
      <c r="D56" s="102" t="s">
        <v>49</v>
      </c>
      <c r="E56" s="59"/>
      <c r="F56" s="101" t="s">
        <v>30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ref="U56:U77" si="7">IFERROR(I56/H56,0)</f>
        <v>0</v>
      </c>
      <c r="V56" s="71">
        <f t="shared" ref="V56:V77" si="8">IFERROR(SUM(H56+L56)/G56,0)</f>
        <v>0</v>
      </c>
      <c r="W56" s="72"/>
    </row>
    <row r="57" ht="12.75" customHeight="1">
      <c r="A57" s="103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5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6" t="s">
        <v>30</v>
      </c>
      <c r="B59" s="106" t="s">
        <v>31</v>
      </c>
      <c r="C59" s="107"/>
      <c r="D59" s="108" t="s">
        <v>49</v>
      </c>
      <c r="E59" s="95"/>
      <c r="F59" s="106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3" t="s">
        <v>30</v>
      </c>
      <c r="B60" s="104" t="s">
        <v>31</v>
      </c>
      <c r="C60" s="104"/>
      <c r="D60" s="109"/>
      <c r="E60" s="69"/>
      <c r="F60" s="110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3" t="s">
        <v>31</v>
      </c>
      <c r="C61" s="59"/>
      <c r="D61" s="59"/>
      <c r="E61" s="75"/>
      <c r="F61" s="103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103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77</v>
      </c>
      <c r="D63" s="100" t="s">
        <v>49</v>
      </c>
      <c r="E63" s="89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2" t="s">
        <v>30</v>
      </c>
      <c r="B64" s="112" t="s">
        <v>31</v>
      </c>
      <c r="C64" s="112" t="s">
        <v>77</v>
      </c>
      <c r="D64" s="113"/>
      <c r="E64" s="89"/>
      <c r="F64" s="112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77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77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77</v>
      </c>
      <c r="D67" s="113"/>
      <c r="E67" s="89"/>
      <c r="F67" s="114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77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1" t="s">
        <v>30</v>
      </c>
      <c r="B69" s="101" t="s">
        <v>31</v>
      </c>
      <c r="C69" s="101" t="s">
        <v>83</v>
      </c>
      <c r="D69" s="115" t="s">
        <v>49</v>
      </c>
      <c r="E69" s="75"/>
      <c r="F69" s="101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6" t="s">
        <v>84</v>
      </c>
      <c r="D70" s="117" t="s">
        <v>49</v>
      </c>
      <c r="E70" s="118"/>
      <c r="F70" s="116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2" t="s">
        <v>30</v>
      </c>
      <c r="B71" s="112" t="s">
        <v>31</v>
      </c>
      <c r="C71" s="114" t="s">
        <v>84</v>
      </c>
      <c r="D71" s="113"/>
      <c r="E71" s="89"/>
      <c r="F71" s="114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84</v>
      </c>
      <c r="D72" s="119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6" t="s">
        <v>30</v>
      </c>
      <c r="B73" s="106" t="s">
        <v>32</v>
      </c>
      <c r="C73" s="106"/>
      <c r="D73" s="108" t="s">
        <v>49</v>
      </c>
      <c r="E73" s="81"/>
      <c r="F73" s="106" t="s">
        <v>32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5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1" t="s">
        <v>30</v>
      </c>
      <c r="B77" s="111" t="s">
        <v>32</v>
      </c>
      <c r="C77" s="111" t="s">
        <v>90</v>
      </c>
      <c r="D77" s="100" t="s">
        <v>49</v>
      </c>
      <c r="E77" s="89"/>
      <c r="F77" s="111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20"/>
      <c r="B78" s="120"/>
      <c r="C78" s="120"/>
      <c r="D78" s="1"/>
      <c r="E78" s="120"/>
      <c r="F78" s="1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3"/>
      <c r="B597" s="123"/>
      <c r="C597" s="123"/>
      <c r="D597" s="124"/>
      <c r="E597" s="123"/>
      <c r="F597" s="125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72"/>
      <c r="V597" s="72"/>
      <c r="W597" s="7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3" t="s">
        <v>92</v>
      </c>
      <c r="B1" s="133" t="s">
        <v>93</v>
      </c>
      <c r="C1" s="133" t="s">
        <v>33</v>
      </c>
      <c r="D1" s="133" t="s">
        <v>94</v>
      </c>
      <c r="E1" s="133" t="s">
        <v>0</v>
      </c>
      <c r="F1" s="133" t="s">
        <v>95</v>
      </c>
      <c r="G1" s="133" t="s">
        <v>96</v>
      </c>
      <c r="H1" s="133" t="s">
        <v>97</v>
      </c>
      <c r="I1" s="133" t="s">
        <v>98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99</v>
      </c>
      <c r="B2" s="135" t="s">
        <v>100</v>
      </c>
      <c r="C2" s="135" t="s">
        <v>101</v>
      </c>
      <c r="D2" s="136">
        <v>46138.0</v>
      </c>
      <c r="E2" s="135">
        <v>1437.24</v>
      </c>
      <c r="F2" s="135" t="s">
        <v>102</v>
      </c>
      <c r="G2" s="135" t="s">
        <v>103</v>
      </c>
      <c r="H2" s="135" t="s">
        <v>104</v>
      </c>
      <c r="I2" s="135" t="s">
        <v>105</v>
      </c>
    </row>
  </sheetData>
  <drawing r:id="rId1"/>
</worksheet>
</file>