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<sst xmlns="http://schemas.openxmlformats.org/spreadsheetml/2006/main" count="2294" uniqueCount="109">
  <si>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</si>
  <si>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</si>
  <si>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</si>
  <si>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</si>
  <si>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</si>
  <si>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</si>
  <si>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</si>
  <si>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</si>
  <si>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</si>
  <si>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</si>
  <si>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</si>
  <si>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</si>
  <si>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</si>
  <si>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</si>
  <si>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</si>
  <si>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</si>
  <si>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</si>
  <si>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</si>
  <si>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</si>
  <si>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</si>
  <si>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</si>
  <si>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</si>
  <si>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</si>
  <si>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</si>
  <si>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</si>
  <si>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</si>
  <si>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</si>
  <si>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</si>
  <si>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</si>
  <si>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</si>
  <si>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</si>
  <si>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</si>
  <si>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</si>
  <si>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</si>
  <si>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</si>
  <si>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</si>
  <si>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</si>
  <si>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</si>
  <si>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</si>
  <si>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</si>
  <si>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</si>
  <si>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</si>
  <si>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</si>
  <si>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</si>
  <si>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</si>
  <si>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</si>
  <si>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</si>
  <si>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</si>
  <si>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</si>
  <si>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</si>
  <si>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</si>
  <si>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</si>
  <si>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</si>
  <si>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</si>
  <si>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</si>
  <si>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</si>
  <si>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</si>
  <si>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</si>
  <si>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</si>
  <si>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</si>
  <si>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Ali Elrez</t>
  </si>
  <si>
    <t>FL</t>
  </si>
  <si>
    <t>Christine Demaras</t>
  </si>
  <si>
    <t>Maher Altairi</t>
  </si>
  <si>
    <t>Basel Musaed</t>
  </si>
  <si>
    <t>NJ</t>
  </si>
  <si>
    <t>Lamese Bader</t>
  </si>
  <si>
    <t xml:space="preserve">Snoor Qaradaghi </t>
  </si>
  <si>
    <t>Snoor Qaradaghi</t>
  </si>
  <si>
    <t>NC</t>
  </si>
  <si>
    <t xml:space="preserve">Kimberly Villacampa </t>
  </si>
  <si>
    <t>Shiko Qaradaghi</t>
  </si>
  <si>
    <t>LA</t>
  </si>
  <si>
    <t>Tina Tilley</t>
  </si>
  <si>
    <t>Bruce Curry</t>
  </si>
  <si>
    <t>Bilal Olayan</t>
  </si>
  <si>
    <t>CO</t>
  </si>
  <si>
    <t>Daniella Robinson</t>
  </si>
  <si>
    <t>Waleed Othman</t>
  </si>
  <si>
    <t>Angel Ruiz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</si>
  <si>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</si>
  <si>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</si>
  <si>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</si>
  <si>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</si>
  <si>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</si>
  <si>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</si>
  <si>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</si>
  <si>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</si>
  <si>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</si>
  <si>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</si>
  <si>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Abed Musle,Ruqaya</t>
  </si>
  <si>
    <t>ALI MUSA</t>
  </si>
  <si>
    <t>ALJAHMI</t>
  </si>
  <si>
    <t>NO</t>
  </si>
  <si>
    <t>YES</t>
  </si>
  <si>
    <t>REWRITING PER AGENT</t>
  </si>
  <si>
    <t>LS</t>
  </si>
  <si>
    <t>PHILIP STEVENSON</t>
  </si>
  <si>
    <t>SAJAD ALJANABY</t>
  </si>
  <si>
    <t>CLIENT IS PISSED ABOUT THE CONSTANT CALLS AFTER HIS APPT AND ALSO AFTER READING REVIEWS, DOESN'T WANT TO MOVE FORWARD.</t>
  </si>
  <si>
    <t>SARAH AND JORDAN ARTHUR</t>
  </si>
  <si>
    <t>CAMERON PORTER</t>
  </si>
  <si>
    <t xml:space="preserve">DECIDED AGAINST COVERAGES. </t>
  </si>
  <si>
    <t>KATHY BUNNELL</t>
  </si>
  <si>
    <t>AWNI SCHUAIB</t>
  </si>
  <si>
    <t>-</t>
  </si>
  <si>
    <t>UNAFFORDABLE- MIGHT REWRITE IF SON ABLE TO HELP WITH PAYMENT.</t>
  </si>
  <si>
    <t xml:space="preserve">SHAMEKQUA HEATHGRISBY </t>
  </si>
  <si>
    <t>HAD BEEN TRYING TO REACH AGENT TO CANCEL AND HAD NO LUCK SO EVEN CALLED HOME OFFICE TO CANCEL.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</si>
</sst>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8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color rgb="FF676A6C"/>
      <name val="&quot;Open Sans&quot;"/>
    </font>
  </fonts>
  <fills count="10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  <fill>
      <patternFill patternType="solid">
        <fgColor rgb="FFF5F5F5"/>
        <bgColor rgb="FFF5F5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1" fillId="5" fontId="1" numFmtId="3" xfId="0" applyAlignment="1" applyBorder="1" applyFont="1" applyNumberFormat="1">
      <alignment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9" fontId="17" numFmtId="0" xfId="0" applyAlignment="1" applyFill="1" applyFont="1">
      <alignment readingOrder="0"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16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77850</v>
      </c>
      <c r="D2" s="9"/>
      <c r="E2" s="8">
        <f t="shared" ref="E2:R2" si="1">SUM(E5)</f>
        <v>9024</v>
      </c>
      <c r="F2" s="8">
        <f t="shared" si="1"/>
        <v>121</v>
      </c>
      <c r="G2" s="10">
        <f t="shared" si="1"/>
        <v>57</v>
      </c>
      <c r="H2" s="10">
        <f t="shared" si="1"/>
        <v>36</v>
      </c>
      <c r="I2" s="10">
        <f t="shared" si="1"/>
        <v>3</v>
      </c>
      <c r="J2" s="10">
        <f t="shared" si="1"/>
        <v>2</v>
      </c>
      <c r="K2" s="10">
        <f t="shared" si="1"/>
        <v>16</v>
      </c>
      <c r="L2" s="10">
        <f t="shared" si="1"/>
        <v>14</v>
      </c>
      <c r="M2" s="10">
        <f t="shared" si="1"/>
        <v>139</v>
      </c>
      <c r="N2" s="10">
        <f t="shared" si="1"/>
        <v>36</v>
      </c>
      <c r="O2" s="10">
        <f t="shared" si="1"/>
        <v>24</v>
      </c>
      <c r="P2" s="10">
        <f t="shared" si="1"/>
        <v>34</v>
      </c>
      <c r="Q2" s="10">
        <f t="shared" si="1"/>
        <v>26</v>
      </c>
      <c r="R2" s="10">
        <f t="shared" si="1"/>
        <v>5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2162.5</v>
      </c>
      <c r="F4" s="20">
        <f>IFERROR((G2+R2)/F2,0)</f>
        <v>0.5123966942</v>
      </c>
      <c r="G4" s="20">
        <f>IFERROR(H2/G2,0)</f>
        <v>0.6315789474</v>
      </c>
      <c r="H4" s="19">
        <f>(C2/C4)</f>
        <v>2684.482759</v>
      </c>
      <c r="I4" s="21"/>
      <c r="J4" s="20">
        <f>IFERROR(J2/I2,0)</f>
        <v>0.6666666667</v>
      </c>
      <c r="K4" s="21"/>
      <c r="L4" s="20">
        <f>IFERROR(L2/K2,0)</f>
        <v>0.875</v>
      </c>
      <c r="M4" s="22">
        <f>IFERROR(M2/G2,0)</f>
        <v>2.438596491</v>
      </c>
      <c r="N4" s="21"/>
      <c r="O4" s="20">
        <f>IFERROR(O2/N2,0)</f>
        <v>0.6666666667</v>
      </c>
      <c r="P4" s="22"/>
      <c r="Q4" s="20">
        <f>IFERROR(Q2/P2,0)</f>
        <v>0.7647058824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77850</v>
      </c>
      <c r="D5" s="26"/>
      <c r="E5" s="27">
        <f>SUMIFS(T:T,A:A,B5,D:D,"Y")</f>
        <v>9024</v>
      </c>
      <c r="F5" s="8">
        <f>SUMIF(A:A,B5,G:G)</f>
        <v>121</v>
      </c>
      <c r="G5" s="10">
        <f>SUMIF(A:A,B5,H:H)</f>
        <v>57</v>
      </c>
      <c r="H5" s="10">
        <f>SUMIF(A:A,B5,I:I)</f>
        <v>36</v>
      </c>
      <c r="I5" s="10">
        <f>SUMIF(A:A,B5,P:P)</f>
        <v>3</v>
      </c>
      <c r="J5" s="10">
        <f>SUMIF(A:A,B5,Q:Q)</f>
        <v>2</v>
      </c>
      <c r="K5" s="10">
        <f>SUMIF(A:A,B5,R:R)</f>
        <v>16</v>
      </c>
      <c r="L5" s="10">
        <f>SUMIF(A:A,B5,S:S)</f>
        <v>14</v>
      </c>
      <c r="M5" s="10">
        <f>SUMIF(A:A,B5,M:M)</f>
        <v>139</v>
      </c>
      <c r="N5" s="10">
        <f>SUMIF(A:A,B5,N:N)</f>
        <v>36</v>
      </c>
      <c r="O5" s="10">
        <f>SUMIF(A:A,B5,O:O)</f>
        <v>24</v>
      </c>
      <c r="P5" s="10">
        <f>SUMIF(A:A,B5,J:J)</f>
        <v>34</v>
      </c>
      <c r="Q5" s="10">
        <f>SUMIF(A:A,B5,K:K)</f>
        <v>26</v>
      </c>
      <c r="R5" s="10">
        <f>SUMIF(A:A,B5,L:L)</f>
        <v>5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2162.5</v>
      </c>
      <c r="F7" s="20">
        <f>IFERROR((G5+R5)/F5,0)</f>
        <v>0.5123966942</v>
      </c>
      <c r="G7" s="20">
        <f>IFERROR(H5/G5,0)</f>
        <v>0.6315789474</v>
      </c>
      <c r="H7" s="19">
        <f>(C5/C7)</f>
        <v>2684.482759</v>
      </c>
      <c r="I7" s="21"/>
      <c r="J7" s="20">
        <f>IFERROR(J5/I5,0)</f>
        <v>0.6666666667</v>
      </c>
      <c r="K7" s="21"/>
      <c r="L7" s="20">
        <f>IFERROR(L5/K5,0)</f>
        <v>0.875</v>
      </c>
      <c r="M7" s="22">
        <f>IFERROR(M5/SUM(R5+G5,0),"")</f>
        <v>2.241935484</v>
      </c>
      <c r="N7" s="21"/>
      <c r="O7" s="20">
        <f>IFERROR(O5/N5,0)</f>
        <v>0.6666666667</v>
      </c>
      <c r="P7" s="22"/>
      <c r="Q7" s="20">
        <f>IFERROR(Q5/P5,0)</f>
        <v>0.7647058824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77850</v>
      </c>
      <c r="D8" s="36"/>
      <c r="E8" s="37">
        <f>SUMIFS(T:T,B:B,B8,D:D,"Y")</f>
        <v>9024</v>
      </c>
      <c r="F8" s="38">
        <f>SUMIF(B16:B1038,B8,G16:G1038)</f>
        <v>121</v>
      </c>
      <c r="G8" s="39">
        <f>SUMIF(B16:B1038,B8,H16:H1038)</f>
        <v>57</v>
      </c>
      <c r="H8" s="38">
        <f>SUMIF(B16:B1038,B8,I16:I1038)</f>
        <v>36</v>
      </c>
      <c r="I8" s="39">
        <f>SUMIF(B16:B1038,B8,P16:P1038)</f>
        <v>3</v>
      </c>
      <c r="J8" s="39">
        <f>SUMIF(B16:B1038,B8,Q16:Q1038)</f>
        <v>2</v>
      </c>
      <c r="K8" s="39">
        <f>SUMIF(B16:B1038,B8,R16:R1038)</f>
        <v>16</v>
      </c>
      <c r="L8" s="39">
        <f>SUMIF(B16:B1038,B8,S16:S1038)</f>
        <v>14</v>
      </c>
      <c r="M8" s="39">
        <f>SUMIF(B16:B1038,B8,M16:M1038)</f>
        <v>139</v>
      </c>
      <c r="N8" s="39">
        <f>SUMIF(B16:B1038,B8,N16:N1038)</f>
        <v>36</v>
      </c>
      <c r="O8" s="38">
        <f>SUMIF(B16:B1038,B8,O16:O1038)</f>
        <v>24</v>
      </c>
      <c r="P8" s="39">
        <f>SUMIF(B16:B1038,B8,J16:J1038)</f>
        <v>34</v>
      </c>
      <c r="Q8" s="39">
        <f>SUMIF(B16:B1038,B8,K16:K1038)</f>
        <v>26</v>
      </c>
      <c r="R8" s="38">
        <f>SUMIF(B16:B1038,B8,L16:L1038)</f>
        <v>5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COUNTIFS(B16:B1038,B8)</f>
        <v>26</v>
      </c>
      <c r="D10" s="42"/>
      <c r="E10" s="50">
        <f>IFERROR(C8/H8,0)</f>
        <v>2162.5</v>
      </c>
      <c r="F10" s="51">
        <f>IFERROR((G8+R8)/F8,0)</f>
        <v>0.5123966942</v>
      </c>
      <c r="G10" s="51">
        <f>IFERROR(H8/G8,0)</f>
        <v>0.6315789474</v>
      </c>
      <c r="H10" s="50">
        <f>(C8/C10)</f>
        <v>2994.230769</v>
      </c>
      <c r="I10" s="46"/>
      <c r="J10" s="51">
        <f>IFERROR(J8/I8,0)</f>
        <v>0.6666666667</v>
      </c>
      <c r="K10" s="46"/>
      <c r="L10" s="51">
        <f>IFERROR(L8/K8,0)</f>
        <v>0.875</v>
      </c>
      <c r="M10" s="52">
        <f>IFERROR(M8/SUM(G8+R8,0),"")</f>
        <v>2.241935484</v>
      </c>
      <c r="N10" s="46"/>
      <c r="O10" s="51">
        <f>IFERROR(O8/N8,0)</f>
        <v>0.6666666667</v>
      </c>
      <c r="P10" s="53"/>
      <c r="Q10" s="51">
        <f>IFERROR(Q8/P8,0)</f>
        <v>0.7647058824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SUMIF(B46:B1038,B11,G46:G1038)</f>
        <v>0</v>
      </c>
      <c r="G11" s="39">
        <f>SUMIF(B46:B1038,B11,H46:H1038)</f>
        <v>0</v>
      </c>
      <c r="H11" s="38">
        <f>SUMIF(B46:B1038,B11,I46:I1038)</f>
        <v>0</v>
      </c>
      <c r="I11" s="39">
        <f>SUMIF(B46:B1038,B11,P46:P1038)</f>
        <v>0</v>
      </c>
      <c r="J11" s="39">
        <f>SUMIF(B46:B1038,B11,Q46:Q1038)</f>
        <v>0</v>
      </c>
      <c r="K11" s="39">
        <f>SUMIF(B46:B1038,B11,R46:R1038)</f>
        <v>0</v>
      </c>
      <c r="L11" s="39">
        <f>SUMIF(B46:B1038,B11,S46:S1038)</f>
        <v>0</v>
      </c>
      <c r="M11" s="39">
        <f>SUMIF(B46:B1038,B11,M46:M1038)</f>
        <v>0</v>
      </c>
      <c r="N11" s="39">
        <f>SUMIF(B46:B1038,B11,N46:N1038)</f>
        <v>0</v>
      </c>
      <c r="O11" s="38">
        <f>SUMIF(B46:B1038,B11,O46:O1038)</f>
        <v>0</v>
      </c>
      <c r="P11" s="39">
        <f>SUMIF(B46:B1038,B11,J46:J1038)</f>
        <v>0</v>
      </c>
      <c r="Q11" s="39">
        <f>SUMIF(B46:B1038,B11,K46:K1038)</f>
        <v>0</v>
      </c>
      <c r="R11" s="38">
        <f>SUMIF(B46:B1038,B11,L46:L1038)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COUNTIFS(B16:B1038,B11)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5" si="2">IFERROR(I17/H17,0)</f>
        <v>0</v>
      </c>
      <c r="V17" s="67">
        <f t="shared" ref="V17:V4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7</v>
      </c>
      <c r="H22" s="66">
        <f>('Thurs (2)'!H22+Thurs!H22+'Tues '!H22+Wed!H22+Fri!H22+'Mon '!H22+'Wed (2)'!H22+Sun!H22+Sat!H22)</f>
        <v>2</v>
      </c>
      <c r="I22" s="66">
        <f>('Thurs (2)'!I22+Thurs!I22+'Tues '!I22+Wed!I22+Fri!I22+'Mon '!I22+'Wed (2)'!I22+Sun!I22+Sat!I22)</f>
        <v>2</v>
      </c>
      <c r="J22" s="66">
        <f>('Thurs (2)'!J22+Thurs!J22+'Tues '!J22+Wed!J22+Fri!J22+'Mon '!J22+'Wed (2)'!J22+Sun!J22+Sat!J22)</f>
        <v>1</v>
      </c>
      <c r="K22" s="66">
        <f>('Thurs (2)'!K22+Thurs!K22+'Tues '!K22+Wed!K22+Fri!K22+'Mon '!K22+'Wed (2)'!K22+Sun!K22+Sat!K22)</f>
        <v>1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6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3</v>
      </c>
      <c r="S22" s="66">
        <f>('Thurs (2)'!S22+Thurs!S22+'Tues '!S22+Wed!S22+Fri!S22+'Mon '!S22+'Wed (2)'!S22+Sun!S22+Sat!S22)</f>
        <v>3</v>
      </c>
      <c r="T22" s="66">
        <f>('Thurs (2)'!T22+Thurs!T22+'Tues '!T22+Wed!T22+Fri!T22+'Mon '!T22+'Wed (2)'!T22+Sun!T22+Sat!T22)</f>
        <v>5487</v>
      </c>
      <c r="U22" s="67">
        <f t="shared" si="2"/>
        <v>1</v>
      </c>
      <c r="V22" s="67">
        <f t="shared" si="3"/>
        <v>0.2857142857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6</v>
      </c>
      <c r="H23" s="66">
        <f>('Thurs (2)'!H23+Thurs!H23+'Tues '!H23+Wed!H23+Fri!H23+'Mon '!H23+'Wed (2)'!H23+Sun!H23+Sat!H23)</f>
        <v>2</v>
      </c>
      <c r="I23" s="66">
        <f>('Thurs (2)'!I23+Thurs!I23+'Tues '!I23+Wed!I23+Fri!I23+'Mon '!I23+'Wed (2)'!I23+Sun!I23+Sat!I23)</f>
        <v>1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6</v>
      </c>
      <c r="N23" s="66">
        <f>('Thurs (2)'!N23+Thurs!N23+'Tues '!N23+Wed!N23+Fri!N23+'Mon '!N23+'Wed (2)'!N23+Sun!N23+Sat!N23)</f>
        <v>1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1</v>
      </c>
      <c r="S23" s="66">
        <f>('Thurs (2)'!S23+Thurs!S23+'Tues '!S23+Wed!S23+Fri!S23+'Mon '!S23+'Wed (2)'!S23+Sun!S23+Sat!S23)</f>
        <v>1</v>
      </c>
      <c r="T23" s="66">
        <f>('Thurs (2)'!T23+Thurs!T23+'Tues '!T23+Wed!T23+Fri!T23+'Mon '!T23+'Wed (2)'!T23+Sun!T23+Sat!T23)</f>
        <v>1421</v>
      </c>
      <c r="U23" s="67">
        <f t="shared" si="2"/>
        <v>0.5</v>
      </c>
      <c r="V23" s="67">
        <f t="shared" si="3"/>
        <v>0.3333333333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25</v>
      </c>
      <c r="H24" s="66">
        <f>('Thurs (2)'!H24+Thurs!H24+'Tues '!H24+Wed!H24+Fri!H24+'Mon '!H24+'Wed (2)'!H24+Sun!H24+Sat!H24)</f>
        <v>8</v>
      </c>
      <c r="I24" s="66">
        <f>('Thurs (2)'!I24+Thurs!I24+'Tues '!I24+Wed!I24+Fri!I24+'Mon '!I24+'Wed (2)'!I24+Sun!I24+Sat!I24)</f>
        <v>4</v>
      </c>
      <c r="J24" s="66">
        <f>('Thurs (2)'!J24+Thurs!J24+'Tues '!J24+Wed!J24+Fri!J24+'Mon '!J24+'Wed (2)'!J24+Sun!J24+Sat!J24)</f>
        <v>2</v>
      </c>
      <c r="K24" s="66">
        <f>('Thurs (2)'!K24+Thurs!K24+'Tues '!K24+Wed!K24+Fri!K24+'Mon '!K24+'Wed (2)'!K24+Sun!K24+Sat!K24)</f>
        <v>1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29</v>
      </c>
      <c r="N24" s="66">
        <f>('Thurs (2)'!N24+Thurs!N24+'Tues '!N24+Wed!N24+Fri!N24+'Mon '!N24+'Wed (2)'!N24+Sun!N24+Sat!N24)</f>
        <v>6</v>
      </c>
      <c r="O24" s="66">
        <f>('Thurs (2)'!O24+Thurs!O24+'Tues '!O24+Wed!O24+Fri!O24+'Mon '!O24+'Wed (2)'!O24+Sun!O24+Sat!O24)</f>
        <v>3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2</v>
      </c>
      <c r="S24" s="66">
        <f>('Thurs (2)'!S24+Thurs!S24+'Tues '!S24+Wed!S24+Fri!S24+'Mon '!S24+'Wed (2)'!S24+Sun!S24+Sat!S24)</f>
        <v>1</v>
      </c>
      <c r="T24" s="66">
        <f>('Thurs (2)'!T24+Thurs!T24+'Tues '!T24+Wed!T24+Fri!T24+'Mon '!T24+'Wed (2)'!T24+Sun!T24+Sat!T24)</f>
        <v>6228</v>
      </c>
      <c r="U24" s="67">
        <f t="shared" si="2"/>
        <v>0.5</v>
      </c>
      <c r="V24" s="67">
        <f t="shared" si="3"/>
        <v>0.32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7</v>
      </c>
      <c r="H25" s="66">
        <f>('Thurs (2)'!H25+Thurs!H25+'Tues '!H25+Wed!H25+Fri!H25+'Mon '!H25+'Wed (2)'!H25+Sun!H25+Sat!H25)</f>
        <v>6</v>
      </c>
      <c r="I25" s="66">
        <f>('Thurs (2)'!I25+Thurs!I25+'Tues '!I25+Wed!I25+Fri!I25+'Mon '!I25+'Wed (2)'!I25+Sun!I25+Sat!I25)</f>
        <v>2</v>
      </c>
      <c r="J25" s="66">
        <f>('Thurs (2)'!J25+Thurs!J25+'Tues '!J25+Wed!J25+Fri!J25+'Mon '!J25+'Wed (2)'!J25+Sun!J25+Sat!J25)</f>
        <v>1</v>
      </c>
      <c r="K25" s="66">
        <f>('Thurs (2)'!K25+Thurs!K25+'Tues '!K25+Wed!K25+Fri!K25+'Mon '!K25+'Wed (2)'!K25+Sun!K25+Sat!K25)</f>
        <v>1</v>
      </c>
      <c r="L25" s="66">
        <f>('Thurs (2)'!L25+Thurs!L25+'Tues '!L25+Wed!L25+Fri!L25+'Mon '!L25+'Wed (2)'!L25+Sun!L25+Sat!L25)</f>
        <v>2</v>
      </c>
      <c r="M25" s="66">
        <f>('Thurs (2)'!M25+Thurs!M25+'Tues '!M25+Wed!M25+Fri!M25+'Mon '!M25+'Wed (2)'!M25+Sun!M25+Sat!M25)</f>
        <v>8</v>
      </c>
      <c r="N25" s="66">
        <f>('Thurs (2)'!N25+Thurs!N25+'Tues '!N25+Wed!N25+Fri!N25+'Mon '!N25+'Wed (2)'!N25+Sun!N25+Sat!N25)</f>
        <v>5</v>
      </c>
      <c r="O25" s="66">
        <f>('Thurs (2)'!O25+Thurs!O25+'Tues '!O25+Wed!O25+Fri!O25+'Mon '!O25+'Wed (2)'!O25+Sun!O25+Sat!O25)</f>
        <v>2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3542</v>
      </c>
      <c r="U25" s="67">
        <f t="shared" si="2"/>
        <v>0.3333333333</v>
      </c>
      <c r="V25" s="67">
        <f t="shared" si="3"/>
        <v>1.142857143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30</v>
      </c>
      <c r="H27" s="66">
        <f>('Thurs (2)'!H27+Thurs!H27+'Tues '!H27+Wed!H27+Fri!H27+'Mon '!H27+'Wed (2)'!H27+Sun!H27+Sat!H27)</f>
        <v>15</v>
      </c>
      <c r="I27" s="66">
        <f>('Thurs (2)'!I27+Thurs!I27+'Tues '!I27+Wed!I27+Fri!I27+'Mon '!I27+'Wed (2)'!I27+Sun!I27+Sat!I27)</f>
        <v>13</v>
      </c>
      <c r="J27" s="66">
        <f>('Thurs (2)'!J27+Thurs!J27+'Tues '!J27+Wed!J27+Fri!J27+'Mon '!J27+'Wed (2)'!J27+Sun!J27+Sat!J27)</f>
        <v>14</v>
      </c>
      <c r="K27" s="66">
        <f>('Thurs (2)'!K27+Thurs!K27+'Tues '!K27+Wed!K27+Fri!K27+'Mon '!K27+'Wed (2)'!K27+Sun!K27+Sat!K27)</f>
        <v>13</v>
      </c>
      <c r="L27" s="66">
        <f>('Thurs (2)'!L27+Thurs!L27+'Tues '!L27+Wed!L27+Fri!L27+'Mon '!L27+'Wed (2)'!L27+Sun!L27+Sat!L27)</f>
        <v>1</v>
      </c>
      <c r="M27" s="66">
        <f>('Thurs (2)'!M27+Thurs!M27+'Tues '!M27+Wed!M27+Fri!M27+'Mon '!M27+'Wed (2)'!M27+Sun!M27+Sat!M27)</f>
        <v>32</v>
      </c>
      <c r="N27" s="66">
        <f>('Thurs (2)'!N27+Thurs!N27+'Tues '!N27+Wed!N27+Fri!N27+'Mon '!N27+'Wed (2)'!N27+Sun!N27+Sat!N27)</f>
        <v>11</v>
      </c>
      <c r="O27" s="66">
        <f>('Thurs (2)'!O27+Thurs!O27+'Tues '!O27+Wed!O27+Fri!O27+'Mon '!O27+'Wed (2)'!O27+Sun!O27+Sat!O27)</f>
        <v>10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4</v>
      </c>
      <c r="S27" s="66">
        <f>('Thurs (2)'!S27+Thurs!S27+'Tues '!S27+Wed!S27+Fri!S27+'Mon '!S27+'Wed (2)'!S27+Sun!S27+Sat!S27)</f>
        <v>3</v>
      </c>
      <c r="T27" s="66">
        <f>('Thurs (2)'!T27+Thurs!T27+'Tues '!T27+Wed!T27+Fri!T27+'Mon '!T27+'Wed (2)'!T27+Sun!T27+Sat!T27)</f>
        <v>33954</v>
      </c>
      <c r="U27" s="67">
        <f t="shared" si="2"/>
        <v>0.8666666667</v>
      </c>
      <c r="V27" s="67">
        <f t="shared" si="3"/>
        <v>0.5333333333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4</v>
      </c>
      <c r="H28" s="66">
        <f>('Thurs (2)'!H28+Thurs!H28+'Tues '!H28+Wed!H28+Fri!H28+'Mon '!H28+'Wed (2)'!H28+Sun!H28+Sat!H28)</f>
        <v>1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1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1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0.25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7</v>
      </c>
      <c r="H29" s="66">
        <f>('Thurs (2)'!H29+Thurs!H29+'Tues '!H29+Wed!H29+Fri!H29+'Mon '!H29+'Wed (2)'!H29+Sun!H29+Sat!H29)</f>
        <v>4</v>
      </c>
      <c r="I29" s="66">
        <f>('Thurs (2)'!I29+Thurs!I29+'Tues '!I29+Wed!I29+Fri!I29+'Mon '!I29+'Wed (2)'!I29+Sun!I29+Sat!I29)</f>
        <v>3</v>
      </c>
      <c r="J29" s="66">
        <f>('Thurs (2)'!J29+Thurs!J29+'Tues '!J29+Wed!J29+Fri!J29+'Mon '!J29+'Wed (2)'!J29+Sun!J29+Sat!J29)</f>
        <v>2</v>
      </c>
      <c r="K29" s="66">
        <f>('Thurs (2)'!K29+Thurs!K29+'Tues '!K29+Wed!K29+Fri!K29+'Mon '!K29+'Wed (2)'!K29+Sun!K29+Sat!K29)</f>
        <v>2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5</v>
      </c>
      <c r="N29" s="66">
        <f>('Thurs (2)'!N29+Thurs!N29+'Tues '!N29+Wed!N29+Fri!N29+'Mon '!N29+'Wed (2)'!N29+Sun!N29+Sat!N29)</f>
        <v>2</v>
      </c>
      <c r="O29" s="66">
        <f>('Thurs (2)'!O29+Thurs!O29+'Tues '!O29+Wed!O29+Fri!O29+'Mon '!O29+'Wed (2)'!O29+Sun!O29+Sat!O29)</f>
        <v>2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1</v>
      </c>
      <c r="S29" s="66">
        <f>('Thurs (2)'!S29+Thurs!S29+'Tues '!S29+Wed!S29+Fri!S29+'Mon '!S29+'Wed (2)'!S29+Sun!S29+Sat!S29)</f>
        <v>1</v>
      </c>
      <c r="T29" s="66">
        <f>('Thurs (2)'!T29+Thurs!T29+'Tues '!T29+Wed!T29+Fri!T29+'Mon '!T29+'Wed (2)'!T29+Sun!T29+Sat!T29)</f>
        <v>6304</v>
      </c>
      <c r="U29" s="67">
        <f t="shared" si="2"/>
        <v>0.75</v>
      </c>
      <c r="V29" s="67">
        <f t="shared" si="3"/>
        <v>0.5714285714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>
        <f>('Thurs (2)'!G30+Thurs!G30+'Tues '!G30+Wed!G30+Fri!G30+'Mon '!G30+'Wed (2)'!G30+Sun!G30+Sat!G30)</f>
        <v>0</v>
      </c>
      <c r="H30" s="66">
        <f>('Thurs (2)'!H30+Thurs!H30+'Tues '!H30+Wed!H30+Fri!H30+'Mon '!H30+'Wed (2)'!H30+Sun!H30+Sat!H30)</f>
        <v>0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0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>
        <f>('Thurs (2)'!G31+Thurs!G31+'Tues '!G31+Wed!G31+Fri!G31+'Mon '!G31+'Wed (2)'!G31+Sun!G31+Sat!G31)</f>
        <v>5</v>
      </c>
      <c r="H31" s="66">
        <f>('Thurs (2)'!H31+Thurs!H31+'Tues '!H31+Wed!H31+Fri!H31+'Mon '!H31+'Wed (2)'!H31+Sun!H31+Sat!H31)</f>
        <v>2</v>
      </c>
      <c r="I31" s="66">
        <f>('Thurs (2)'!I31+Thurs!I31+'Tues '!I31+Wed!I31+Fri!I31+'Mon '!I31+'Wed (2)'!I31+Sun!I31+Sat!I31)</f>
        <v>2</v>
      </c>
      <c r="J31" s="66">
        <f>('Thurs (2)'!J31+Thurs!J31+'Tues '!J31+Wed!J31+Fri!J31+'Mon '!J31+'Wed (2)'!J31+Sun!J31+Sat!J31)</f>
        <v>2</v>
      </c>
      <c r="K31" s="66">
        <f>('Thurs (2)'!K31+Thurs!K31+'Tues '!K31+Wed!K31+Fri!K31+'Mon '!K31+'Wed (2)'!K31+Sun!K31+Sat!K31)</f>
        <v>2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5</v>
      </c>
      <c r="N31" s="66">
        <f>('Thurs (2)'!N31+Thurs!N31+'Tues '!N31+Wed!N31+Fri!N31+'Mon '!N31+'Wed (2)'!N31+Sun!N31+Sat!N31)</f>
        <v>2</v>
      </c>
      <c r="O31" s="66">
        <f>('Thurs (2)'!O31+Thurs!O31+'Tues '!O31+Wed!O31+Fri!O31+'Mon '!O31+'Wed (2)'!O31+Sun!O31+Sat!O31)</f>
        <v>2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1670</v>
      </c>
      <c r="U31" s="67">
        <f t="shared" si="2"/>
        <v>1</v>
      </c>
      <c r="V31" s="67">
        <f t="shared" si="3"/>
        <v>0.4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3</v>
      </c>
      <c r="H32" s="66">
        <f>('Thurs (2)'!H32+Thurs!H32+'Tues '!H32+Wed!H32+Fri!H32+'Mon '!H32+'Wed (2)'!H32+Sun!H32+Sat!H32)</f>
        <v>3</v>
      </c>
      <c r="I32" s="66">
        <f>('Thurs (2)'!I32+Thurs!I32+'Tues '!I32+Wed!I32+Fri!I32+'Mon '!I32+'Wed (2)'!I32+Sun!I32+Sat!I32)</f>
        <v>3</v>
      </c>
      <c r="J32" s="66">
        <f>('Thurs (2)'!J32+Thurs!J32+'Tues '!J32+Wed!J32+Fri!J32+'Mon '!J32+'Wed (2)'!J32+Sun!J32+Sat!J32)</f>
        <v>3</v>
      </c>
      <c r="K32" s="66">
        <f>('Thurs (2)'!K32+Thurs!K32+'Tues '!K32+Wed!K32+Fri!K32+'Mon '!K32+'Wed (2)'!K32+Sun!K32+Sat!K32)</f>
        <v>3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10</v>
      </c>
      <c r="N32" s="66">
        <f>('Thurs (2)'!N32+Thurs!N32+'Tues '!N32+Wed!N32+Fri!N32+'Mon '!N32+'Wed (2)'!N32+Sun!N32+Sat!N32)</f>
        <v>2</v>
      </c>
      <c r="O32" s="66">
        <f>('Thurs (2)'!O32+Thurs!O32+'Tues '!O32+Wed!O32+Fri!O32+'Mon '!O32+'Wed (2)'!O32+Sun!O32+Sat!O32)</f>
        <v>2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1</v>
      </c>
      <c r="S32" s="66">
        <f>('Thurs (2)'!S32+Thurs!S32+'Tues '!S32+Wed!S32+Fri!S32+'Mon '!S32+'Wed (2)'!S32+Sun!S32+Sat!S32)</f>
        <v>1</v>
      </c>
      <c r="T32" s="66">
        <f>('Thurs (2)'!T32+Thurs!T32+'Tues '!T32+Wed!T32+Fri!T32+'Mon '!T32+'Wed (2)'!T32+Sun!T32+Sat!T32)</f>
        <v>8328</v>
      </c>
      <c r="U32" s="67">
        <f t="shared" si="2"/>
        <v>1</v>
      </c>
      <c r="V32" s="67">
        <f t="shared" si="3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>
        <f>('Thurs (2)'!G33+Thurs!G33+'Tues '!G33+Wed!G33+Fri!G33+'Mon '!G33+'Wed (2)'!G33+Sun!G33+Sat!G33)</f>
        <v>2</v>
      </c>
      <c r="H33" s="66">
        <f>('Thurs (2)'!H33+Thurs!H33+'Tues '!H33+Wed!H33+Fri!H33+'Mon '!H33+'Wed (2)'!H33+Sun!H33+Sat!H33)</f>
        <v>2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1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8</v>
      </c>
      <c r="N33" s="66">
        <f>('Thurs (2)'!N33+Thurs!N33+'Tues '!N33+Wed!N33+Fri!N33+'Mon '!N33+'Wed (2)'!N33+Sun!N33+Sat!N33)</f>
        <v>1</v>
      </c>
      <c r="O33" s="66">
        <f>('Thurs (2)'!O33+Thurs!O33+'Tues '!O33+Wed!O33+Fri!O33+'Mon '!O33+'Wed (2)'!O33+Sun!O33+Sat!O33)</f>
        <v>1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1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1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>
        <f>('Thurs (2)'!G34+Thurs!G34+'Tues '!G34+Wed!G34+Fri!G34+'Mon '!G34+'Wed (2)'!G34+Sun!G34+Sat!G34)</f>
        <v>3</v>
      </c>
      <c r="H34" s="66">
        <f>('Thurs (2)'!H34+Thurs!H34+'Tues '!H34+Wed!H34+Fri!H34+'Mon '!H34+'Wed (2)'!H34+Sun!H34+Sat!H34)</f>
        <v>1</v>
      </c>
      <c r="I34" s="66">
        <f>('Thurs (2)'!I34+Thurs!I34+'Tues '!I34+Wed!I34+Fri!I34+'Mon '!I34+'Wed (2)'!I34+Sun!I34+Sat!I34)</f>
        <v>1</v>
      </c>
      <c r="J34" s="66">
        <f>('Thurs (2)'!J34+Thurs!J34+'Tues '!J34+Wed!J34+Fri!J34+'Mon '!J34+'Wed (2)'!J34+Sun!J34+Sat!J34)</f>
        <v>1</v>
      </c>
      <c r="K34" s="66">
        <f>('Thurs (2)'!K34+Thurs!K34+'Tues '!K34+Wed!K34+Fri!K34+'Mon '!K34+'Wed (2)'!K34+Sun!K34+Sat!K34)</f>
        <v>1</v>
      </c>
      <c r="L34" s="66">
        <f>('Thurs (2)'!L34+Thurs!L34+'Tues '!L34+Wed!L34+Fri!L34+'Mon '!L34+'Wed (2)'!L34+Sun!L34+Sat!L34)</f>
        <v>2</v>
      </c>
      <c r="M34" s="66">
        <f>('Thurs (2)'!M34+Thurs!M34+'Tues '!M34+Wed!M34+Fri!M34+'Mon '!M34+'Wed (2)'!M34+Sun!M34+Sat!M34)</f>
        <v>9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1</v>
      </c>
      <c r="S34" s="66">
        <f>('Thurs (2)'!S34+Thurs!S34+'Tues '!S34+Wed!S34+Fri!S34+'Mon '!S34+'Wed (2)'!S34+Sun!S34+Sat!S34)</f>
        <v>1</v>
      </c>
      <c r="T34" s="66">
        <f>('Thurs (2)'!T34+Thurs!T34+'Tues '!T34+Wed!T34+Fri!T34+'Mon '!T34+'Wed (2)'!T34+Sun!T34+Sat!T34)</f>
        <v>1474</v>
      </c>
      <c r="U34" s="67">
        <f t="shared" si="2"/>
        <v>1</v>
      </c>
      <c r="V34" s="67">
        <f t="shared" si="3"/>
        <v>1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5</v>
      </c>
      <c r="H35" s="66">
        <f>('Thurs (2)'!H35+Thurs!H35+'Tues '!H35+Wed!H35+Fri!H35+'Mon '!H35+'Wed (2)'!H35+Sun!H35+Sat!H35)</f>
        <v>3</v>
      </c>
      <c r="I35" s="66">
        <f>('Thurs (2)'!I35+Thurs!I35+'Tues '!I35+Wed!I35+Fri!I35+'Mon '!I35+'Wed (2)'!I35+Sun!I35+Sat!I35)</f>
        <v>2</v>
      </c>
      <c r="J35" s="66">
        <f>('Thurs (2)'!J35+Thurs!J35+'Tues '!J35+Wed!J35+Fri!J35+'Mon '!J35+'Wed (2)'!J35+Sun!J35+Sat!J35)</f>
        <v>2</v>
      </c>
      <c r="K35" s="66">
        <f>('Thurs (2)'!K35+Thurs!K35+'Tues '!K35+Wed!K35+Fri!K35+'Mon '!K35+'Wed (2)'!K35+Sun!K35+Sat!K35)</f>
        <v>1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2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3</v>
      </c>
      <c r="Q35" s="66">
        <f>('Thurs (2)'!Q35+Thurs!Q35+'Tues '!Q35+Wed!Q35+Fri!Q35+'Mon '!Q35+'Wed (2)'!Q35+Sun!Q35+Sat!Q35)</f>
        <v>2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3537</v>
      </c>
      <c r="U35" s="67">
        <f t="shared" si="2"/>
        <v>0.6666666667</v>
      </c>
      <c r="V35" s="67">
        <f t="shared" si="3"/>
        <v>0.6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3</v>
      </c>
      <c r="H36" s="66">
        <f>('Thurs (2)'!H36+Thurs!H36+'Tues '!H36+Wed!H36+Fri!H36+'Mon '!H36+'Wed (2)'!H36+Sun!H36+Sat!H36)</f>
        <v>0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3</v>
      </c>
      <c r="H37" s="66">
        <f>('Thurs (2)'!H37+Thurs!H37+'Tues '!H37+Wed!H37+Fri!H37+'Mon '!H37+'Wed (2)'!H37+Sun!H37+Sat!H37)</f>
        <v>3</v>
      </c>
      <c r="I37" s="66">
        <f>('Thurs (2)'!I37+Thurs!I37+'Tues '!I37+Wed!I37+Fri!I37+'Mon '!I37+'Wed (2)'!I37+Sun!I37+Sat!I37)</f>
        <v>2</v>
      </c>
      <c r="J37" s="66">
        <f>('Thurs (2)'!J37+Thurs!J37+'Tues '!J37+Wed!J37+Fri!J37+'Mon '!J37+'Wed (2)'!J37+Sun!J37+Sat!J37)</f>
        <v>1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0</v>
      </c>
      <c r="N37" s="66">
        <f>('Thurs (2)'!N37+Thurs!N37+'Tues '!N37+Wed!N37+Fri!N37+'Mon '!N37+'Wed (2)'!N37+Sun!N37+Sat!N37)</f>
        <v>2</v>
      </c>
      <c r="O37" s="66">
        <f>('Thurs (2)'!O37+Thurs!O37+'Tues '!O37+Wed!O37+Fri!O37+'Mon '!O37+'Wed (2)'!O37+Sun!O37+Sat!O37)</f>
        <v>2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1</v>
      </c>
      <c r="S37" s="66">
        <f>('Thurs (2)'!S37+Thurs!S37+'Tues '!S37+Wed!S37+Fri!S37+'Mon '!S37+'Wed (2)'!S37+Sun!S37+Sat!S37)</f>
        <v>1</v>
      </c>
      <c r="T37" s="66">
        <f>('Thurs (2)'!T37+Thurs!T37+'Tues '!T37+Wed!T37+Fri!T37+'Mon '!T37+'Wed (2)'!T37+Sun!T37+Sat!T37)</f>
        <v>3932</v>
      </c>
      <c r="U37" s="67">
        <f t="shared" si="2"/>
        <v>0.6666666667</v>
      </c>
      <c r="V37" s="67">
        <f t="shared" si="3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66">
        <f>('Thurs (2)'!G38+Thurs!G38+'Tues '!G38+Wed!G38+Fri!G38+'Mon '!G38+'Wed (2)'!G38+Sun!G38+Sat!G38)</f>
        <v>0</v>
      </c>
      <c r="H38" s="66">
        <f>('Thurs (2)'!H38+Thurs!H38+'Tues '!H38+Wed!H38+Fri!H38+'Mon '!H38+'Wed (2)'!H38+Sun!H38+Sat!H38)</f>
        <v>0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0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66">
        <f>('Thurs (2)'!G43+Thurs!G43+'Tues '!G43+Wed!G43+Fri!G43+'Mon '!G43+'Wed (2)'!G43+Sun!G43+Sat!G43)</f>
        <v>11</v>
      </c>
      <c r="H43" s="66">
        <f>('Thurs (2)'!H43+Thurs!H43+'Tues '!H43+Wed!H43+Fri!H43+'Mon '!H43+'Wed (2)'!H43+Sun!H43+Sat!H43)</f>
        <v>5</v>
      </c>
      <c r="I43" s="66">
        <f>('Thurs (2)'!I43+Thurs!I43+'Tues '!I43+Wed!I43+Fri!I43+'Mon '!I43+'Wed (2)'!I43+Sun!I43+Sat!I43)</f>
        <v>1</v>
      </c>
      <c r="J43" s="66">
        <f>('Thurs (2)'!J43+Thurs!J43+'Tues '!J43+Wed!J43+Fri!J43+'Mon '!J43+'Wed (2)'!J43+Sun!J43+Sat!J43)</f>
        <v>3</v>
      </c>
      <c r="K43" s="66">
        <f>('Thurs (2)'!K43+Thurs!K43+'Tues '!K43+Wed!K43+Fri!K43+'Mon '!K43+'Wed (2)'!K43+Sun!K43+Sat!K43)</f>
        <v>1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19</v>
      </c>
      <c r="N43" s="66">
        <f>('Thurs (2)'!N43+Thurs!N43+'Tues '!N43+Wed!N43+Fri!N43+'Mon '!N43+'Wed (2)'!N43+Sun!N43+Sat!N43)</f>
        <v>3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1</v>
      </c>
      <c r="S43" s="66">
        <f>('Thurs (2)'!S43+Thurs!S43+'Tues '!S43+Wed!S43+Fri!S43+'Mon '!S43+'Wed (2)'!S43+Sun!S43+Sat!S43)</f>
        <v>2</v>
      </c>
      <c r="T43" s="66">
        <f>('Thurs (2)'!T43+Thurs!T43+'Tues '!T43+Wed!T43+Fri!T43+'Mon '!T43+'Wed (2)'!T43+Sun!T43+Sat!T43)</f>
        <v>1973</v>
      </c>
      <c r="U43" s="67">
        <f t="shared" si="2"/>
        <v>0.2</v>
      </c>
      <c r="V43" s="67">
        <f t="shared" si="3"/>
        <v>0.4545454545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>
        <f>('Thurs (2)'!G44+Thurs!G44+'Tues '!G44+Wed!G44+Fri!G44+'Mon '!G44+'Wed (2)'!G44+Sun!G44+Sat!G44)</f>
        <v>0</v>
      </c>
      <c r="H44" s="66">
        <f>('Thurs (2)'!H44+Thurs!H44+'Tues '!H44+Wed!H44+Fri!H44+'Mon '!H44+'Wed (2)'!H44+Sun!H44+Sat!H44)</f>
        <v>0</v>
      </c>
      <c r="I44" s="66">
        <f>('Thurs (2)'!I44+Thurs!I44+'Tues '!I44+Wed!I44+Fri!I44+'Mon '!I44+'Wed (2)'!I44+Sun!I44+Sat!I44)</f>
        <v>0</v>
      </c>
      <c r="J44" s="66">
        <f>('Thurs (2)'!J44+Thurs!J44+'Tues '!J44+Wed!J44+Fri!J44+'Mon '!J44+'Wed (2)'!J44+Sun!J44+Sat!J44)</f>
        <v>0</v>
      </c>
      <c r="K44" s="66">
        <f>('Thurs (2)'!K44+Thurs!K44+'Tues '!K44+Wed!K44+Fri!K44+'Mon '!K44+'Wed (2)'!K44+Sun!K44+Sat!K44)</f>
        <v>0</v>
      </c>
      <c r="L44" s="66">
        <f>('Thurs (2)'!L44+Thurs!L44+'Tues '!L44+Wed!L44+Fri!L44+'Mon '!L44+'Wed (2)'!L44+Sun!L44+Sat!L44)</f>
        <v>0</v>
      </c>
      <c r="M44" s="66">
        <f>('Thurs (2)'!M44+Thurs!M44+'Tues '!M44+Wed!M44+Fri!M44+'Mon '!M44+'Wed (2)'!M44+Sun!M44+Sat!M44)</f>
        <v>0</v>
      </c>
      <c r="N44" s="66">
        <f>('Thurs (2)'!N44+Thurs!N44+'Tues '!N44+Wed!N44+Fri!N44+'Mon '!N44+'Wed (2)'!N44+Sun!N44+Sat!N44)</f>
        <v>0</v>
      </c>
      <c r="O44" s="66">
        <f>('Thurs (2)'!O44+Thurs!O44+'Tues '!O44+Wed!O44+Fri!O44+'Mon '!O44+'Wed (2)'!O44+Sun!O44+Sat!O44)</f>
        <v>0</v>
      </c>
      <c r="P44" s="66">
        <f>('Thurs (2)'!P44+Thurs!P44+'Tues '!P44+Wed!P44+Fri!P44+'Mon '!P44+'Wed (2)'!P44+Sun!P44+Sat!P44)</f>
        <v>0</v>
      </c>
      <c r="Q44" s="66">
        <f>('Thurs (2)'!Q44+Thurs!Q44+'Tues '!Q44+Wed!Q44+Fri!Q44+'Mon '!Q44+'Wed (2)'!Q44+Sun!Q44+Sat!Q44)</f>
        <v>0</v>
      </c>
      <c r="R44" s="66">
        <f>('Thurs (2)'!R44+Thurs!R44+'Tues '!R44+Wed!R44+Fri!R44+'Mon '!R44+'Wed (2)'!R44+Sun!R44+Sat!R44)</f>
        <v>0</v>
      </c>
      <c r="S44" s="66">
        <f>('Thurs (2)'!S44+Thurs!S44+'Tues '!S44+Wed!S44+Fri!S44+'Mon '!S44+'Wed (2)'!S44+Sun!S44+Sat!S44)</f>
        <v>0</v>
      </c>
      <c r="T44" s="66">
        <f>('Thurs (2)'!T44+Thurs!T44+'Tues '!T44+Wed!T44+Fri!T44+'Mon '!T44+'Wed (2)'!T44+Sun!T44+Sat!T44)</f>
        <v>0</v>
      </c>
      <c r="U44" s="67">
        <f t="shared" si="2"/>
        <v>0</v>
      </c>
      <c r="V44" s="67">
        <f t="shared" si="3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>
        <f>('Thurs (2)'!G45+Thurs!G45+'Tues '!G45+Wed!G45+Fri!G45+'Mon '!G45+'Wed (2)'!G45+Sun!G45+Sat!G45)</f>
        <v>0</v>
      </c>
      <c r="H45" s="66">
        <f>('Thurs (2)'!H45+Thurs!H45+'Tues '!H45+Wed!H45+Fri!H45+'Mon '!H45+'Wed (2)'!H45+Sun!H45+Sat!H45)</f>
        <v>0</v>
      </c>
      <c r="I45" s="66">
        <f>('Thurs (2)'!I45+Thurs!I45+'Tues '!I45+Wed!I45+Fri!I45+'Mon '!I45+'Wed (2)'!I45+Sun!I45+Sat!I45)</f>
        <v>0</v>
      </c>
      <c r="J45" s="66">
        <f>('Thurs (2)'!J45+Thurs!J45+'Tues '!J45+Wed!J45+Fri!J45+'Mon '!J45+'Wed (2)'!J45+Sun!J45+Sat!J45)</f>
        <v>0</v>
      </c>
      <c r="K45" s="66">
        <f>('Thurs (2)'!K45+Thurs!K45+'Tues '!K45+Wed!K45+Fri!K45+'Mon '!K45+'Wed (2)'!K45+Sun!K45+Sat!K45)</f>
        <v>0</v>
      </c>
      <c r="L45" s="66">
        <f>('Thurs (2)'!L45+Thurs!L45+'Tues '!L45+Wed!L45+Fri!L45+'Mon '!L45+'Wed (2)'!L45+Sun!L45+Sat!L45)</f>
        <v>0</v>
      </c>
      <c r="M45" s="66">
        <f>('Thurs (2)'!M45+Thurs!M45+'Tues '!M45+Wed!M45+Fri!M45+'Mon '!M45+'Wed (2)'!M45+Sun!M45+Sat!M45)</f>
        <v>0</v>
      </c>
      <c r="N45" s="66">
        <f>('Thurs (2)'!N45+Thurs!N45+'Tues '!N45+Wed!N45+Fri!N45+'Mon '!N45+'Wed (2)'!N45+Sun!N45+Sat!N45)</f>
        <v>0</v>
      </c>
      <c r="O45" s="66">
        <f>('Thurs (2)'!O45+Thurs!O45+'Tues '!O45+Wed!O45+Fri!O45+'Mon '!O45+'Wed (2)'!O45+Sun!O45+Sat!O45)</f>
        <v>0</v>
      </c>
      <c r="P45" s="66">
        <f>('Thurs (2)'!P45+Thurs!P45+'Tues '!P45+Wed!P45+Fri!P45+'Mon '!P45+'Wed (2)'!P45+Sun!P45+Sat!P45)</f>
        <v>0</v>
      </c>
      <c r="Q45" s="66">
        <f>('Thurs (2)'!Q45+Thurs!Q45+'Tues '!Q45+Wed!Q45+Fri!Q45+'Mon '!Q45+'Wed (2)'!Q45+Sun!Q45+Sat!Q45)</f>
        <v>0</v>
      </c>
      <c r="R45" s="66">
        <f>('Thurs (2)'!R45+Thurs!R45+'Tues '!R45+Wed!R45+Fri!R45+'Mon '!R45+'Wed (2)'!R45+Sun!R45+Sat!R45)</f>
        <v>0</v>
      </c>
      <c r="S45" s="66">
        <f>('Thurs (2)'!S45+Thurs!S45+'Tues '!S45+Wed!S45+Fri!S45+'Mon '!S45+'Wed (2)'!S45+Sun!S45+Sat!S45)</f>
        <v>0</v>
      </c>
      <c r="T45" s="66">
        <f>('Thurs (2)'!T45+Thurs!T45+'Tues '!T45+Wed!T45+Fri!T45+'Mon '!T45+'Wed (2)'!T45+Sun!T45+Sat!T45)</f>
        <v>0</v>
      </c>
      <c r="U45" s="67">
        <f t="shared" si="2"/>
        <v>0</v>
      </c>
      <c r="V45" s="67">
        <f t="shared" si="3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11611</v>
      </c>
      <c r="D2" s="9"/>
      <c r="E2" s="8">
        <f t="shared" ref="E2:R2" si="1">SUM(E5)</f>
        <v>1544</v>
      </c>
      <c r="F2" s="8">
        <f t="shared" si="1"/>
        <v>20</v>
      </c>
      <c r="G2" s="10">
        <f t="shared" si="1"/>
        <v>10</v>
      </c>
      <c r="H2" s="10">
        <f t="shared" si="1"/>
        <v>6</v>
      </c>
      <c r="I2" s="10">
        <f t="shared" si="1"/>
        <v>1</v>
      </c>
      <c r="J2" s="10">
        <f t="shared" si="1"/>
        <v>0</v>
      </c>
      <c r="K2" s="10">
        <f t="shared" si="1"/>
        <v>6</v>
      </c>
      <c r="L2" s="10">
        <f t="shared" si="1"/>
        <v>4</v>
      </c>
      <c r="M2" s="10">
        <f t="shared" si="1"/>
        <v>19</v>
      </c>
      <c r="N2" s="10">
        <f t="shared" si="1"/>
        <v>3</v>
      </c>
      <c r="O2" s="10">
        <f t="shared" si="1"/>
        <v>2</v>
      </c>
      <c r="P2" s="10">
        <f t="shared" si="1"/>
        <v>5</v>
      </c>
      <c r="Q2" s="10">
        <f t="shared" si="1"/>
        <v>3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1935.166667</v>
      </c>
      <c r="F4" s="20">
        <f>IFERROR((G2+R2)/F2,0)</f>
        <v>0.5</v>
      </c>
      <c r="G4" s="20">
        <f>IFERROR(H2/G2,0)</f>
        <v>0.6</v>
      </c>
      <c r="H4" s="19">
        <f>(C2/C4)</f>
        <v>400.3793103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1.9</v>
      </c>
      <c r="N4" s="21"/>
      <c r="O4" s="20">
        <f>IFERROR(O2/N2,0)</f>
        <v>0.6666666667</v>
      </c>
      <c r="P4" s="22"/>
      <c r="Q4" s="20">
        <f>IFERROR(Q2/P2,0)</f>
        <v>0.6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11611</v>
      </c>
      <c r="D5" s="26"/>
      <c r="E5" s="27">
        <f>SUMIFS(T:T,A:A,B5,D:D,"Y")</f>
        <v>1544</v>
      </c>
      <c r="F5" s="8">
        <f>SUMIF(A:A,B5,G:G)</f>
        <v>20</v>
      </c>
      <c r="G5" s="10">
        <f>SUMIF(A:A,B5,H:H)</f>
        <v>10</v>
      </c>
      <c r="H5" s="10">
        <f>SUMIF(A:A,B5,I:I)</f>
        <v>6</v>
      </c>
      <c r="I5" s="10">
        <f>SUMIF(A:A,B5,P:P)</f>
        <v>1</v>
      </c>
      <c r="J5" s="10">
        <f>SUMIF(A:A,B5,Q:Q)</f>
        <v>0</v>
      </c>
      <c r="K5" s="10">
        <f>SUMIF(A:A,B5,R:R)</f>
        <v>6</v>
      </c>
      <c r="L5" s="10">
        <f>SUMIF(A:A,B5,S:S)</f>
        <v>4</v>
      </c>
      <c r="M5" s="10">
        <f>SUMIF(A:A,B5,M:M)</f>
        <v>19</v>
      </c>
      <c r="N5" s="10">
        <f>SUMIF(A:A,B5,N:N)</f>
        <v>3</v>
      </c>
      <c r="O5" s="10">
        <f>SUMIF(A:A,B5,O:O)</f>
        <v>2</v>
      </c>
      <c r="P5" s="10">
        <f>SUMIF(A:A,B5,J:J)</f>
        <v>5</v>
      </c>
      <c r="Q5" s="10">
        <f>SUMIF(A:A,B5,K:K)</f>
        <v>3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1935.166667</v>
      </c>
      <c r="F7" s="20">
        <f>IFERROR((G5+R5)/F5,0)</f>
        <v>0.5</v>
      </c>
      <c r="G7" s="20">
        <f>IFERROR(H5/G5,0)</f>
        <v>0.6</v>
      </c>
      <c r="H7" s="19">
        <f>(C5/C7)</f>
        <v>400.3793103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1.9</v>
      </c>
      <c r="N7" s="21"/>
      <c r="O7" s="20">
        <f>IFERROR(O5/N5,0)</f>
        <v>0.6666666667</v>
      </c>
      <c r="P7" s="22"/>
      <c r="Q7" s="20">
        <f>IFERROR(Q5/P5,0)</f>
        <v>0.6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11611</v>
      </c>
      <c r="D8" s="36"/>
      <c r="E8" s="37">
        <f>SUMIFS(T:T,B:B,B8,D:D,"Y")</f>
        <v>1544</v>
      </c>
      <c r="F8" s="38">
        <f>SUMIF(B16:B1129,B8,G16:G1129)</f>
        <v>20</v>
      </c>
      <c r="G8" s="39">
        <f>SUMIF(B16:B1129,B8,H16:H1129)</f>
        <v>10</v>
      </c>
      <c r="H8" s="38">
        <f>SUMIF(B16:B1129,B8,I16:I1129)</f>
        <v>6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6</v>
      </c>
      <c r="L8" s="39">
        <f>SUMIF(B16:B1129,B8,S16:S1129)</f>
        <v>4</v>
      </c>
      <c r="M8" s="39">
        <f>SUMIF(B16:B1129,B8,M16:M1129)</f>
        <v>19</v>
      </c>
      <c r="N8" s="39">
        <f>SUMIF(B16:B1129,B8,N16:N1129)</f>
        <v>3</v>
      </c>
      <c r="O8" s="38">
        <f>SUMIF(B16:B1129,B8,O16:O1129)</f>
        <v>2</v>
      </c>
      <c r="P8" s="39">
        <f>SUMIF(B16:B1129,B8,J16:J1129)</f>
        <v>5</v>
      </c>
      <c r="Q8" s="39">
        <f>SUMIF(B16:B1129,B8,K16:K1129)</f>
        <v>3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1935.166667</v>
      </c>
      <c r="F10" s="51">
        <f>IFERROR((G8+R8)/F8,0)</f>
        <v>0.5</v>
      </c>
      <c r="G10" s="51">
        <f>IFERROR(H8/G8,0)</f>
        <v>0.6</v>
      </c>
      <c r="H10" s="50">
        <f>(C8/C10)</f>
        <v>446.5769231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1.9</v>
      </c>
      <c r="N10" s="46"/>
      <c r="O10" s="51">
        <f>IFERROR(O8/N8,0)</f>
        <v>0.6666666667</v>
      </c>
      <c r="P10" s="53"/>
      <c r="Q10" s="51">
        <f>IFERROR(Q8/P8,0)</f>
        <v>0.6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4" si="2">IFERROR(I17/H17,0)</f>
        <v>0</v>
      </c>
      <c r="V17" s="67">
        <f t="shared" ref="V17:V3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3.0</v>
      </c>
      <c r="H22" s="133">
        <v>1.0</v>
      </c>
      <c r="I22" s="133">
        <v>1.0</v>
      </c>
      <c r="J22" s="133">
        <v>0.0</v>
      </c>
      <c r="K22" s="133">
        <v>0.0</v>
      </c>
      <c r="L22" s="133">
        <v>0.0</v>
      </c>
      <c r="M22" s="133">
        <v>2.0</v>
      </c>
      <c r="N22" s="133">
        <v>0.0</v>
      </c>
      <c r="O22" s="133">
        <v>0.0</v>
      </c>
      <c r="P22" s="133">
        <v>0.0</v>
      </c>
      <c r="Q22" s="133">
        <v>0.0</v>
      </c>
      <c r="R22" s="133">
        <v>1.0</v>
      </c>
      <c r="S22" s="133">
        <v>1.0</v>
      </c>
      <c r="T22" s="133">
        <v>1544.0</v>
      </c>
      <c r="U22" s="67">
        <f t="shared" si="2"/>
        <v>1</v>
      </c>
      <c r="V22" s="67">
        <f t="shared" si="3"/>
        <v>0.3333333333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3.0</v>
      </c>
      <c r="H23" s="133">
        <v>2.0</v>
      </c>
      <c r="I23" s="133">
        <v>1.0</v>
      </c>
      <c r="J23" s="133">
        <v>0.0</v>
      </c>
      <c r="K23" s="133">
        <v>0.0</v>
      </c>
      <c r="L23" s="133">
        <v>0.0</v>
      </c>
      <c r="M23" s="133">
        <v>6.0</v>
      </c>
      <c r="N23" s="133">
        <v>1.0</v>
      </c>
      <c r="O23" s="133">
        <v>0.0</v>
      </c>
      <c r="P23" s="133">
        <v>0.0</v>
      </c>
      <c r="Q23" s="133">
        <v>0.0</v>
      </c>
      <c r="R23" s="133">
        <v>1.0</v>
      </c>
      <c r="S23" s="133">
        <v>1.0</v>
      </c>
      <c r="T23" s="133">
        <v>1421.0</v>
      </c>
      <c r="U23" s="67">
        <f t="shared" si="2"/>
        <v>0.5</v>
      </c>
      <c r="V23" s="67">
        <f t="shared" si="3"/>
        <v>0.6666666667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134">
        <v>0.0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ref="U26:U27" si="4">IFERROR(I26/H26,0)</f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6.0</v>
      </c>
      <c r="H27" s="133">
        <v>3.0</v>
      </c>
      <c r="I27" s="133">
        <v>2.0</v>
      </c>
      <c r="J27" s="133">
        <v>2.0</v>
      </c>
      <c r="K27" s="133">
        <v>2.0</v>
      </c>
      <c r="L27" s="133">
        <v>0.0</v>
      </c>
      <c r="M27" s="133">
        <v>10.0</v>
      </c>
      <c r="N27" s="133">
        <v>1.0</v>
      </c>
      <c r="O27" s="133">
        <v>1.0</v>
      </c>
      <c r="P27" s="133">
        <v>0.0</v>
      </c>
      <c r="Q27" s="133">
        <v>0.0</v>
      </c>
      <c r="R27" s="133">
        <v>2.0</v>
      </c>
      <c r="S27" s="133">
        <v>1.0</v>
      </c>
      <c r="T27" s="133">
        <v>5436.0</v>
      </c>
      <c r="U27" s="67">
        <f t="shared" si="4"/>
        <v>0.6666666667</v>
      </c>
      <c r="V27" s="67">
        <f t="shared" si="3"/>
        <v>0.5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2.0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1.0</v>
      </c>
      <c r="H29" s="133">
        <v>1.0</v>
      </c>
      <c r="I29" s="133">
        <v>1.0</v>
      </c>
      <c r="J29" s="133">
        <v>1.0</v>
      </c>
      <c r="K29" s="133">
        <v>1.0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1.0</v>
      </c>
      <c r="S29" s="133">
        <v>1.0</v>
      </c>
      <c r="T29" s="133">
        <v>1404.0</v>
      </c>
      <c r="U29" s="67">
        <f>IFERROR(I29/H29,0)</f>
        <v>1</v>
      </c>
      <c r="V29" s="67">
        <f t="shared" si="3"/>
        <v>1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ref="U32:U33" si="5">IFERROR(I32/H32,0)</f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1.0</v>
      </c>
      <c r="H33" s="133">
        <v>1.0</v>
      </c>
      <c r="I33" s="133">
        <v>0.0</v>
      </c>
      <c r="J33" s="133">
        <v>1.0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1.0</v>
      </c>
      <c r="S33" s="133">
        <v>0.0</v>
      </c>
      <c r="T33" s="133">
        <v>0.0</v>
      </c>
      <c r="U33" s="67">
        <f t="shared" si="5"/>
        <v>0</v>
      </c>
      <c r="V33" s="67">
        <f t="shared" si="3"/>
        <v>1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134">
        <v>0.0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v>2.0</v>
      </c>
      <c r="H35" s="66">
        <v>1.0</v>
      </c>
      <c r="I35" s="66">
        <v>0.0</v>
      </c>
      <c r="J35" s="133">
        <v>1.0</v>
      </c>
      <c r="K35" s="66">
        <v>0.0</v>
      </c>
      <c r="L35" s="66">
        <v>0.0</v>
      </c>
      <c r="M35" s="66">
        <v>1.0</v>
      </c>
      <c r="N35" s="66">
        <v>0.0</v>
      </c>
      <c r="O35" s="66">
        <v>0.0</v>
      </c>
      <c r="P35" s="135">
        <v>1.0</v>
      </c>
      <c r="Q35" s="135">
        <v>0.0</v>
      </c>
      <c r="R35" s="135">
        <v>0.0</v>
      </c>
      <c r="S35" s="135">
        <v>0.0</v>
      </c>
      <c r="T35" s="135">
        <v>0.0</v>
      </c>
      <c r="U35" s="67">
        <f t="shared" ref="U35:U45" si="6">IFERROR(I35/H35,0)</f>
        <v>0</v>
      </c>
      <c r="V35" s="67">
        <f t="shared" ref="V35:V45" si="7">IFERROR(SUM(H35+L35)/G35,0)</f>
        <v>0.5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v>0.0</v>
      </c>
      <c r="H36" s="66">
        <v>0.0</v>
      </c>
      <c r="I36" s="66">
        <v>0.0</v>
      </c>
      <c r="J36" s="66">
        <v>0.0</v>
      </c>
      <c r="K36" s="66">
        <v>0.0</v>
      </c>
      <c r="L36" s="66">
        <v>0.0</v>
      </c>
      <c r="M36" s="66">
        <v>0.0</v>
      </c>
      <c r="N36" s="66">
        <v>0.0</v>
      </c>
      <c r="O36" s="66">
        <v>0.0</v>
      </c>
      <c r="P36" s="66">
        <v>0.0</v>
      </c>
      <c r="Q36" s="66">
        <v>0.0</v>
      </c>
      <c r="R36" s="66">
        <v>0.0</v>
      </c>
      <c r="S36" s="66">
        <v>0.0</v>
      </c>
      <c r="T36" s="66">
        <v>0.0</v>
      </c>
      <c r="U36" s="67">
        <f t="shared" si="6"/>
        <v>0</v>
      </c>
      <c r="V36" s="67">
        <f t="shared" si="7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v>1.0</v>
      </c>
      <c r="H37" s="66">
        <v>1.0</v>
      </c>
      <c r="I37" s="66">
        <v>1.0</v>
      </c>
      <c r="J37" s="66">
        <v>0.0</v>
      </c>
      <c r="K37" s="66">
        <v>0.0</v>
      </c>
      <c r="L37" s="66">
        <v>0.0</v>
      </c>
      <c r="M37" s="66">
        <v>0.0</v>
      </c>
      <c r="N37" s="66">
        <v>1.0</v>
      </c>
      <c r="O37" s="66">
        <v>1.0</v>
      </c>
      <c r="P37" s="66">
        <v>0.0</v>
      </c>
      <c r="Q37" s="66">
        <v>0.0</v>
      </c>
      <c r="R37" s="66">
        <v>0.0</v>
      </c>
      <c r="S37" s="66">
        <v>0.0</v>
      </c>
      <c r="T37" s="66">
        <v>1806.0</v>
      </c>
      <c r="U37" s="67">
        <f t="shared" si="6"/>
        <v>1</v>
      </c>
      <c r="V37" s="67">
        <f t="shared" si="7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66">
        <v>0.0</v>
      </c>
      <c r="H38" s="66">
        <v>0.0</v>
      </c>
      <c r="I38" s="66">
        <v>0.0</v>
      </c>
      <c r="J38" s="66">
        <v>0.0</v>
      </c>
      <c r="K38" s="66">
        <v>0.0</v>
      </c>
      <c r="L38" s="66">
        <v>0.0</v>
      </c>
      <c r="M38" s="66">
        <v>0.0</v>
      </c>
      <c r="N38" s="66">
        <v>0.0</v>
      </c>
      <c r="O38" s="66">
        <v>0.0</v>
      </c>
      <c r="P38" s="66">
        <v>0.0</v>
      </c>
      <c r="Q38" s="66">
        <v>0.0</v>
      </c>
      <c r="R38" s="66">
        <v>0.0</v>
      </c>
      <c r="S38" s="66">
        <v>0.0</v>
      </c>
      <c r="T38" s="66">
        <v>0.0</v>
      </c>
      <c r="U38" s="67">
        <f t="shared" si="6"/>
        <v>0</v>
      </c>
      <c r="V38" s="67">
        <f t="shared" si="7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66">
        <v>0.0</v>
      </c>
      <c r="H39" s="66">
        <v>0.0</v>
      </c>
      <c r="I39" s="66">
        <v>0.0</v>
      </c>
      <c r="J39" s="66">
        <v>0.0</v>
      </c>
      <c r="K39" s="66">
        <v>0.0</v>
      </c>
      <c r="L39" s="66">
        <v>0.0</v>
      </c>
      <c r="M39" s="66">
        <v>0.0</v>
      </c>
      <c r="N39" s="66">
        <v>0.0</v>
      </c>
      <c r="O39" s="66">
        <v>0.0</v>
      </c>
      <c r="P39" s="66">
        <v>0.0</v>
      </c>
      <c r="Q39" s="66">
        <v>0.0</v>
      </c>
      <c r="R39" s="66">
        <v>0.0</v>
      </c>
      <c r="S39" s="66">
        <v>0.0</v>
      </c>
      <c r="T39" s="66">
        <v>0.0</v>
      </c>
      <c r="U39" s="67">
        <f t="shared" si="6"/>
        <v>0</v>
      </c>
      <c r="V39" s="67">
        <f t="shared" si="7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66">
        <v>0.0</v>
      </c>
      <c r="H40" s="66">
        <v>0.0</v>
      </c>
      <c r="I40" s="66">
        <v>0.0</v>
      </c>
      <c r="J40" s="66">
        <v>0.0</v>
      </c>
      <c r="K40" s="66">
        <v>0.0</v>
      </c>
      <c r="L40" s="66">
        <v>0.0</v>
      </c>
      <c r="M40" s="66">
        <v>0.0</v>
      </c>
      <c r="N40" s="66">
        <v>0.0</v>
      </c>
      <c r="O40" s="66">
        <v>0.0</v>
      </c>
      <c r="P40" s="66">
        <v>0.0</v>
      </c>
      <c r="Q40" s="66">
        <v>0.0</v>
      </c>
      <c r="R40" s="66">
        <v>0.0</v>
      </c>
      <c r="S40" s="66">
        <v>0.0</v>
      </c>
      <c r="T40" s="66">
        <v>0.0</v>
      </c>
      <c r="U40" s="67">
        <f t="shared" si="6"/>
        <v>0</v>
      </c>
      <c r="V40" s="67">
        <f t="shared" si="7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66">
        <v>0.0</v>
      </c>
      <c r="H41" s="66">
        <v>0.0</v>
      </c>
      <c r="I41" s="66">
        <v>0.0</v>
      </c>
      <c r="J41" s="66">
        <v>0.0</v>
      </c>
      <c r="K41" s="66">
        <v>0.0</v>
      </c>
      <c r="L41" s="66">
        <v>0.0</v>
      </c>
      <c r="M41" s="66">
        <v>0.0</v>
      </c>
      <c r="N41" s="66">
        <v>0.0</v>
      </c>
      <c r="O41" s="66">
        <v>0.0</v>
      </c>
      <c r="P41" s="66">
        <v>0.0</v>
      </c>
      <c r="Q41" s="66">
        <v>0.0</v>
      </c>
      <c r="R41" s="66">
        <v>0.0</v>
      </c>
      <c r="S41" s="66">
        <v>0.0</v>
      </c>
      <c r="T41" s="66">
        <v>0.0</v>
      </c>
      <c r="U41" s="67">
        <f t="shared" si="6"/>
        <v>0</v>
      </c>
      <c r="V41" s="67">
        <f t="shared" si="7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66">
        <v>0.0</v>
      </c>
      <c r="H42" s="66">
        <v>0.0</v>
      </c>
      <c r="I42" s="66">
        <v>0.0</v>
      </c>
      <c r="J42" s="66">
        <v>0.0</v>
      </c>
      <c r="K42" s="66">
        <v>0.0</v>
      </c>
      <c r="L42" s="66">
        <v>0.0</v>
      </c>
      <c r="M42" s="66">
        <v>0.0</v>
      </c>
      <c r="N42" s="66">
        <v>0.0</v>
      </c>
      <c r="O42" s="66">
        <v>0.0</v>
      </c>
      <c r="P42" s="66">
        <v>0.0</v>
      </c>
      <c r="Q42" s="66">
        <v>0.0</v>
      </c>
      <c r="R42" s="66">
        <v>0.0</v>
      </c>
      <c r="S42" s="66">
        <v>0.0</v>
      </c>
      <c r="T42" s="66">
        <v>0.0</v>
      </c>
      <c r="U42" s="67">
        <f t="shared" si="6"/>
        <v>0</v>
      </c>
      <c r="V42" s="67">
        <f t="shared" si="7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133">
        <v>1.0</v>
      </c>
      <c r="H43" s="133">
        <v>0.0</v>
      </c>
      <c r="I43" s="133">
        <v>0.0</v>
      </c>
      <c r="J43" s="133">
        <v>0.0</v>
      </c>
      <c r="K43" s="133">
        <v>0.0</v>
      </c>
      <c r="L43" s="133">
        <v>0.0</v>
      </c>
      <c r="M43" s="133">
        <v>0.0</v>
      </c>
      <c r="N43" s="133">
        <v>0.0</v>
      </c>
      <c r="O43" s="133">
        <v>0.0</v>
      </c>
      <c r="P43" s="133">
        <v>0.0</v>
      </c>
      <c r="Q43" s="133">
        <v>0.0</v>
      </c>
      <c r="R43" s="133">
        <v>0.0</v>
      </c>
      <c r="S43" s="133">
        <v>0.0</v>
      </c>
      <c r="T43" s="133">
        <v>0.0</v>
      </c>
      <c r="U43" s="67">
        <f t="shared" si="6"/>
        <v>0</v>
      </c>
      <c r="V43" s="67">
        <f t="shared" si="7"/>
        <v>0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7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6"/>
        <v>0</v>
      </c>
      <c r="V45" s="67">
        <f t="shared" si="7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7081</v>
      </c>
      <c r="D2" s="9"/>
      <c r="E2" s="8">
        <f t="shared" ref="E2:R2" si="1">SUM(E5)</f>
        <v>2264</v>
      </c>
      <c r="F2" s="8">
        <f t="shared" si="1"/>
        <v>24</v>
      </c>
      <c r="G2" s="10">
        <f t="shared" si="1"/>
        <v>7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4</v>
      </c>
      <c r="L2" s="10">
        <f t="shared" si="1"/>
        <v>3</v>
      </c>
      <c r="M2" s="10">
        <f t="shared" si="1"/>
        <v>26</v>
      </c>
      <c r="N2" s="10">
        <f t="shared" si="1"/>
        <v>3</v>
      </c>
      <c r="O2" s="10">
        <f t="shared" si="1"/>
        <v>1</v>
      </c>
      <c r="P2" s="10">
        <f t="shared" si="1"/>
        <v>3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1770.25</v>
      </c>
      <c r="F4" s="20">
        <f>IFERROR((G2+R2)/F2,0)</f>
        <v>0.3333333333</v>
      </c>
      <c r="G4" s="20">
        <f>IFERROR(H2/G2,0)</f>
        <v>0.5714285714</v>
      </c>
      <c r="H4" s="19">
        <f>(C2/C4)</f>
        <v>244.1724138</v>
      </c>
      <c r="I4" s="21"/>
      <c r="J4" s="20">
        <f>IFERROR(J2/I2,0)</f>
        <v>0</v>
      </c>
      <c r="K4" s="21"/>
      <c r="L4" s="20">
        <f>IFERROR(L2/K2,0)</f>
        <v>0.75</v>
      </c>
      <c r="M4" s="22">
        <f>IFERROR(M2/G2,0)</f>
        <v>3.714285714</v>
      </c>
      <c r="N4" s="21"/>
      <c r="O4" s="20">
        <f>IFERROR(O2/N2,0)</f>
        <v>0.3333333333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7081</v>
      </c>
      <c r="D5" s="26"/>
      <c r="E5" s="27">
        <f>SUMIFS(T:T,A:A,B5,D:D,"Y")</f>
        <v>2264</v>
      </c>
      <c r="F5" s="8">
        <f>SUMIF(A:A,B5,G:G)</f>
        <v>24</v>
      </c>
      <c r="G5" s="10">
        <f>SUMIF(A:A,B5,H:H)</f>
        <v>7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4</v>
      </c>
      <c r="L5" s="10">
        <f>SUMIF(A:A,B5,S:S)</f>
        <v>3</v>
      </c>
      <c r="M5" s="10">
        <f>SUMIF(A:A,B5,M:M)</f>
        <v>26</v>
      </c>
      <c r="N5" s="10">
        <f>SUMIF(A:A,B5,N:N)</f>
        <v>3</v>
      </c>
      <c r="O5" s="10">
        <f>SUMIF(A:A,B5,O:O)</f>
        <v>1</v>
      </c>
      <c r="P5" s="10">
        <f>SUMIF(A:A,B5,J:J)</f>
        <v>3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1770.25</v>
      </c>
      <c r="F7" s="20">
        <f>IFERROR((G5+R5)/F5,0)</f>
        <v>0.3333333333</v>
      </c>
      <c r="G7" s="20">
        <f>IFERROR(H5/G5,0)</f>
        <v>0.5714285714</v>
      </c>
      <c r="H7" s="19">
        <f>(C5/C7)</f>
        <v>244.1724138</v>
      </c>
      <c r="I7" s="21"/>
      <c r="J7" s="20">
        <f>IFERROR(J5/I5,0)</f>
        <v>0</v>
      </c>
      <c r="K7" s="21"/>
      <c r="L7" s="20">
        <f>IFERROR(L5/K5,0)</f>
        <v>0.75</v>
      </c>
      <c r="M7" s="22">
        <f>IFERROR(M5/SUM(R5+G5,0),"")</f>
        <v>3.25</v>
      </c>
      <c r="N7" s="21"/>
      <c r="O7" s="20">
        <f>IFERROR(O5/N5,0)</f>
        <v>0.3333333333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7081</v>
      </c>
      <c r="D8" s="36"/>
      <c r="E8" s="37">
        <f>SUMIFS(T:T,B:B,B8,D:D,"Y")</f>
        <v>2264</v>
      </c>
      <c r="F8" s="38">
        <f>SUMIF(B16:B1129,B8,G16:G1129)</f>
        <v>24</v>
      </c>
      <c r="G8" s="39">
        <f>SUMIF(B16:B1129,B8,H16:H1129)</f>
        <v>7</v>
      </c>
      <c r="H8" s="38">
        <f>SUMIF(B16:B1129,B8,I16:I1129)</f>
        <v>4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4</v>
      </c>
      <c r="L8" s="39">
        <f>SUMIF(B16:B1129,B8,S16:S1129)</f>
        <v>3</v>
      </c>
      <c r="M8" s="39">
        <f>SUMIF(B16:B1129,B8,M16:M1129)</f>
        <v>26</v>
      </c>
      <c r="N8" s="39">
        <f>SUMIF(B16:B1129,B8,N16:N1129)</f>
        <v>3</v>
      </c>
      <c r="O8" s="38">
        <f>SUMIF(B16:B1129,B8,O16:O1129)</f>
        <v>1</v>
      </c>
      <c r="P8" s="39">
        <f>SUMIF(B16:B1129,B8,J16:J1129)</f>
        <v>3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1770.25</v>
      </c>
      <c r="F10" s="51">
        <f>IFERROR((G8+R8)/F8,0)</f>
        <v>0.3333333333</v>
      </c>
      <c r="G10" s="51">
        <f>IFERROR(H8/G8,0)</f>
        <v>0.5714285714</v>
      </c>
      <c r="H10" s="50">
        <f>(C8/C10)</f>
        <v>272.3461538</v>
      </c>
      <c r="I10" s="46"/>
      <c r="J10" s="51">
        <f>IFERROR(J8/I8,0)</f>
        <v>0</v>
      </c>
      <c r="K10" s="46"/>
      <c r="L10" s="51">
        <f>IFERROR(L8/K8,0)</f>
        <v>0.75</v>
      </c>
      <c r="M10" s="52">
        <f>IFERROR(M8/SUM(G8+R8,0),"")</f>
        <v>3.25</v>
      </c>
      <c r="N10" s="46"/>
      <c r="O10" s="51">
        <f>IFERROR(O8/N8,0)</f>
        <v>0.3333333333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2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2.0</v>
      </c>
      <c r="H22" s="133">
        <v>1.0</v>
      </c>
      <c r="I22" s="133">
        <v>1.0</v>
      </c>
      <c r="J22" s="133">
        <v>0.0</v>
      </c>
      <c r="K22" s="133">
        <v>0.0</v>
      </c>
      <c r="L22" s="133">
        <v>0.0</v>
      </c>
      <c r="M22" s="133">
        <v>4.0</v>
      </c>
      <c r="N22" s="133">
        <v>0.0</v>
      </c>
      <c r="O22" s="133">
        <v>0.0</v>
      </c>
      <c r="P22" s="133">
        <v>0.0</v>
      </c>
      <c r="Q22" s="133">
        <v>0.0</v>
      </c>
      <c r="R22" s="133">
        <v>1.0</v>
      </c>
      <c r="S22" s="133">
        <v>1.0</v>
      </c>
      <c r="T22" s="133">
        <v>2264.0</v>
      </c>
      <c r="U22" s="67">
        <f t="shared" si="2"/>
        <v>1</v>
      </c>
      <c r="V22" s="67">
        <f t="shared" si="3"/>
        <v>0.5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1.0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134">
        <v>0.0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10.0</v>
      </c>
      <c r="H24" s="133">
        <v>3.0</v>
      </c>
      <c r="I24" s="133">
        <v>1.0</v>
      </c>
      <c r="J24" s="133">
        <v>0.0</v>
      </c>
      <c r="K24" s="133">
        <v>0.0</v>
      </c>
      <c r="L24" s="133">
        <v>0.0</v>
      </c>
      <c r="M24" s="133">
        <v>12.0</v>
      </c>
      <c r="N24" s="133">
        <v>2.0</v>
      </c>
      <c r="O24" s="133">
        <v>1.0</v>
      </c>
      <c r="P24" s="133">
        <v>0.0</v>
      </c>
      <c r="Q24" s="133">
        <v>0.0</v>
      </c>
      <c r="R24" s="133">
        <v>1.0</v>
      </c>
      <c r="S24" s="133">
        <v>0.0</v>
      </c>
      <c r="T24" s="133">
        <v>1080.0</v>
      </c>
      <c r="U24" s="67">
        <f t="shared" ref="U24:U27" si="4">IFERROR(I24/H24,0)</f>
        <v>0.3333333333</v>
      </c>
      <c r="V24" s="67">
        <f t="shared" si="3"/>
        <v>0.3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4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4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4.0</v>
      </c>
      <c r="H27" s="133">
        <v>2.0</v>
      </c>
      <c r="I27" s="133">
        <v>1.0</v>
      </c>
      <c r="J27" s="133">
        <v>2.0</v>
      </c>
      <c r="K27" s="133">
        <v>1.0</v>
      </c>
      <c r="L27" s="133">
        <v>1.0</v>
      </c>
      <c r="M27" s="133">
        <v>6.0</v>
      </c>
      <c r="N27" s="133">
        <v>1.0</v>
      </c>
      <c r="O27" s="133">
        <v>0.0</v>
      </c>
      <c r="P27" s="133">
        <v>0.0</v>
      </c>
      <c r="Q27" s="133">
        <v>0.0</v>
      </c>
      <c r="R27" s="133">
        <v>1.0</v>
      </c>
      <c r="S27" s="133">
        <v>1.0</v>
      </c>
      <c r="T27" s="133">
        <v>2263.0</v>
      </c>
      <c r="U27" s="67">
        <f t="shared" si="4"/>
        <v>0.5</v>
      </c>
      <c r="V27" s="67">
        <f t="shared" si="3"/>
        <v>0.75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1.0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>IFERROR(I29/H29,0)</f>
        <v>0</v>
      </c>
      <c r="V29" s="134">
        <v>0.0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ref="V30:V45" si="5">IFERROR(SUM(H30+L30)/G30,0)</f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>IFERROR(I31/H31,0)</f>
        <v>0</v>
      </c>
      <c r="V31" s="67">
        <f t="shared" si="5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5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5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3.0</v>
      </c>
      <c r="H34" s="133">
        <v>1.0</v>
      </c>
      <c r="I34" s="133">
        <v>1.0</v>
      </c>
      <c r="J34" s="133">
        <v>1.0</v>
      </c>
      <c r="K34" s="133">
        <v>1.0</v>
      </c>
      <c r="L34" s="133">
        <v>0.0</v>
      </c>
      <c r="M34" s="133">
        <v>4.0</v>
      </c>
      <c r="N34" s="133">
        <v>0.0</v>
      </c>
      <c r="O34" s="133">
        <v>0.0</v>
      </c>
      <c r="P34" s="133">
        <v>0.0</v>
      </c>
      <c r="Q34" s="133">
        <v>0.0</v>
      </c>
      <c r="R34" s="133">
        <v>1.0</v>
      </c>
      <c r="S34" s="133">
        <v>1.0</v>
      </c>
      <c r="T34" s="133">
        <v>1474.0</v>
      </c>
      <c r="U34" s="134">
        <v>0.0</v>
      </c>
      <c r="V34" s="67">
        <f t="shared" si="5"/>
        <v>0.3333333333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1.0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5" si="6">IFERROR(I35/H35,0)</f>
        <v>0</v>
      </c>
      <c r="V35" s="67">
        <f t="shared" si="5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1.0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5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6"/>
        <v>0</v>
      </c>
      <c r="V37" s="67">
        <f t="shared" si="5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5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5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5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133">
        <v>1.0</v>
      </c>
      <c r="H43" s="133">
        <v>0.0</v>
      </c>
      <c r="I43" s="133">
        <v>0.0</v>
      </c>
      <c r="J43" s="133">
        <v>0.0</v>
      </c>
      <c r="K43" s="133">
        <v>0.0</v>
      </c>
      <c r="L43" s="133">
        <v>0.0</v>
      </c>
      <c r="M43" s="133">
        <v>0.0</v>
      </c>
      <c r="N43" s="133">
        <v>0.0</v>
      </c>
      <c r="O43" s="133">
        <v>0.0</v>
      </c>
      <c r="P43" s="133">
        <v>0.0</v>
      </c>
      <c r="Q43" s="133">
        <v>0.0</v>
      </c>
      <c r="R43" s="133">
        <v>0.0</v>
      </c>
      <c r="S43" s="133">
        <v>0.0</v>
      </c>
      <c r="T43" s="133">
        <v>0.0</v>
      </c>
      <c r="U43" s="67">
        <f t="shared" si="6"/>
        <v>0</v>
      </c>
      <c r="V43" s="67">
        <f t="shared" si="5"/>
        <v>0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5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6"/>
        <v>0</v>
      </c>
      <c r="V45" s="67">
        <f t="shared" si="5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7115</v>
      </c>
      <c r="D2" s="9"/>
      <c r="E2" s="8">
        <f t="shared" ref="E2:R2" si="1">SUM(E5)</f>
        <v>2509</v>
      </c>
      <c r="F2" s="8">
        <f t="shared" si="1"/>
        <v>10</v>
      </c>
      <c r="G2" s="10">
        <f t="shared" si="1"/>
        <v>5</v>
      </c>
      <c r="H2" s="10">
        <f t="shared" si="1"/>
        <v>4</v>
      </c>
      <c r="I2" s="10">
        <f t="shared" si="1"/>
        <v>1</v>
      </c>
      <c r="J2" s="10">
        <f t="shared" si="1"/>
        <v>1</v>
      </c>
      <c r="K2" s="10">
        <f t="shared" si="1"/>
        <v>0</v>
      </c>
      <c r="L2" s="10">
        <f t="shared" si="1"/>
        <v>1</v>
      </c>
      <c r="M2" s="10">
        <f t="shared" si="1"/>
        <v>11</v>
      </c>
      <c r="N2" s="10">
        <f t="shared" si="1"/>
        <v>3</v>
      </c>
      <c r="O2" s="10">
        <f t="shared" si="1"/>
        <v>3</v>
      </c>
      <c r="P2" s="10">
        <f t="shared" si="1"/>
        <v>2</v>
      </c>
      <c r="Q2" s="10">
        <f t="shared" si="1"/>
        <v>2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1778.75</v>
      </c>
      <c r="F4" s="20">
        <f>IFERROR((G2+R2)/F2,0)</f>
        <v>0.5</v>
      </c>
      <c r="G4" s="20">
        <f>IFERROR(H2/G2,0)</f>
        <v>0.8</v>
      </c>
      <c r="H4" s="19">
        <f>(C2/C4)</f>
        <v>245.3448276</v>
      </c>
      <c r="I4" s="21"/>
      <c r="J4" s="20">
        <f>IFERROR(J2/I2,0)</f>
        <v>1</v>
      </c>
      <c r="K4" s="21"/>
      <c r="L4" s="20">
        <f>IFERROR(L2/K2,0)</f>
        <v>0</v>
      </c>
      <c r="M4" s="22">
        <f>IFERROR(M2/G2,0)</f>
        <v>2.2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7115</v>
      </c>
      <c r="D5" s="26"/>
      <c r="E5" s="27">
        <f>SUMIFS(T:T,A:A,B5,D:D,"Y")</f>
        <v>2509</v>
      </c>
      <c r="F5" s="8">
        <f>SUMIF(A:A,B5,G:G)</f>
        <v>10</v>
      </c>
      <c r="G5" s="10">
        <f>SUMIF(A:A,B5,H:H)</f>
        <v>5</v>
      </c>
      <c r="H5" s="10">
        <f>SUMIF(A:A,B5,I:I)</f>
        <v>4</v>
      </c>
      <c r="I5" s="10">
        <f>SUMIF(A:A,B5,P:P)</f>
        <v>1</v>
      </c>
      <c r="J5" s="10">
        <f>SUMIF(A:A,B5,Q:Q)</f>
        <v>1</v>
      </c>
      <c r="K5" s="10">
        <f>SUMIF(A:A,B5,R:R)</f>
        <v>0</v>
      </c>
      <c r="L5" s="10">
        <f>SUMIF(A:A,B5,S:S)</f>
        <v>1</v>
      </c>
      <c r="M5" s="10">
        <f>SUMIF(A:A,B5,M:M)</f>
        <v>11</v>
      </c>
      <c r="N5" s="10">
        <f>SUMIF(A:A,B5,N:N)</f>
        <v>3</v>
      </c>
      <c r="O5" s="10">
        <f>SUMIF(A:A,B5,O:O)</f>
        <v>3</v>
      </c>
      <c r="P5" s="10">
        <f>SUMIF(A:A,B5,J:J)</f>
        <v>2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1778.75</v>
      </c>
      <c r="F7" s="20">
        <f>IFERROR((G5+R5)/F5,0)</f>
        <v>0.5</v>
      </c>
      <c r="G7" s="20">
        <f>IFERROR(H5/G5,0)</f>
        <v>0.8</v>
      </c>
      <c r="H7" s="19">
        <f>(C5/C7)</f>
        <v>245.3448276</v>
      </c>
      <c r="I7" s="21"/>
      <c r="J7" s="20">
        <f>IFERROR(J5/I5,0)</f>
        <v>1</v>
      </c>
      <c r="K7" s="21"/>
      <c r="L7" s="20">
        <f>IFERROR(L5/K5,0)</f>
        <v>0</v>
      </c>
      <c r="M7" s="22">
        <f>IFERROR(M5/SUM(R5+G5,0),"")</f>
        <v>2.2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7115</v>
      </c>
      <c r="D8" s="36"/>
      <c r="E8" s="37">
        <f>SUMIFS(T:T,B:B,B8,D:D,"Y")</f>
        <v>2509</v>
      </c>
      <c r="F8" s="38">
        <f>SUMIF(B16:B1129,B8,G16:G1129)</f>
        <v>10</v>
      </c>
      <c r="G8" s="39">
        <f>SUMIF(B16:B1129,B8,H16:H1129)</f>
        <v>5</v>
      </c>
      <c r="H8" s="38">
        <f>SUMIF(B16:B1129,B8,I16:I1129)</f>
        <v>4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0</v>
      </c>
      <c r="L8" s="39">
        <f>SUMIF(B16:B1129,B8,S16:S1129)</f>
        <v>1</v>
      </c>
      <c r="M8" s="39">
        <f>SUMIF(B16:B1129,B8,M16:M1129)</f>
        <v>11</v>
      </c>
      <c r="N8" s="39">
        <f>SUMIF(B16:B1129,B8,N16:N1129)</f>
        <v>3</v>
      </c>
      <c r="O8" s="38">
        <f>SUMIF(B16:B1129,B8,O16:O1129)</f>
        <v>3</v>
      </c>
      <c r="P8" s="39">
        <f>SUMIF(B16:B1129,B8,J16:J1129)</f>
        <v>2</v>
      </c>
      <c r="Q8" s="39">
        <f>SUMIF(B16:B1129,B8,K16:K1129)</f>
        <v>2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1778.75</v>
      </c>
      <c r="F10" s="51">
        <f>IFERROR((G8+R8)/F8,0)</f>
        <v>0.5</v>
      </c>
      <c r="G10" s="51">
        <f>IFERROR(H8/G8,0)</f>
        <v>0.8</v>
      </c>
      <c r="H10" s="50">
        <f>(C8/C10)</f>
        <v>273.6538462</v>
      </c>
      <c r="I10" s="46"/>
      <c r="J10" s="51">
        <f>IFERROR(J8/I8,0)</f>
        <v>1</v>
      </c>
      <c r="K10" s="46"/>
      <c r="L10" s="51">
        <f>IFERROR(L8/K8,0)</f>
        <v>0</v>
      </c>
      <c r="M10" s="52">
        <f>IFERROR(M8/SUM(G8+R8,0),"")</f>
        <v>2.2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1" si="2">IFERROR(I17/H17,0)</f>
        <v>0</v>
      </c>
      <c r="V17" s="67">
        <f t="shared" ref="V17:V4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2.0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134">
        <v>0.0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ref="U23:U27" si="4">IFERROR(I23/H23,0)</f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4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4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4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3.0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2.0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1424.0</v>
      </c>
      <c r="U27" s="67">
        <f t="shared" si="4"/>
        <v>1</v>
      </c>
      <c r="V27" s="67">
        <f t="shared" si="3"/>
        <v>0.3333333333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ref="U29:U31" si="5">IFERROR(I29/H29,0)</f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5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1.0</v>
      </c>
      <c r="H31" s="133">
        <v>1.0</v>
      </c>
      <c r="I31" s="133">
        <v>1.0</v>
      </c>
      <c r="J31" s="133">
        <v>1.0</v>
      </c>
      <c r="K31" s="133">
        <v>1.0</v>
      </c>
      <c r="L31" s="133">
        <v>0.0</v>
      </c>
      <c r="M31" s="133">
        <v>2.0</v>
      </c>
      <c r="N31" s="133">
        <v>1.0</v>
      </c>
      <c r="O31" s="133">
        <v>1.0</v>
      </c>
      <c r="P31" s="133">
        <v>0.0</v>
      </c>
      <c r="Q31" s="133">
        <v>0.0</v>
      </c>
      <c r="R31" s="133">
        <v>0.0</v>
      </c>
      <c r="S31" s="133">
        <v>0.0</v>
      </c>
      <c r="T31" s="133">
        <v>1056.0</v>
      </c>
      <c r="U31" s="67">
        <f t="shared" si="5"/>
        <v>1</v>
      </c>
      <c r="V31" s="67">
        <f t="shared" si="3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ref="U33:U45" si="6">IFERROR(I33/H33,0)</f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6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1.0</v>
      </c>
      <c r="H35" s="133">
        <v>1.0</v>
      </c>
      <c r="I35" s="133">
        <v>1.0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1.0</v>
      </c>
      <c r="Q35" s="133">
        <v>1.0</v>
      </c>
      <c r="R35" s="133">
        <v>0.0</v>
      </c>
      <c r="S35" s="133">
        <v>0.0</v>
      </c>
      <c r="T35" s="133">
        <v>2509.0</v>
      </c>
      <c r="U35" s="67">
        <f t="shared" si="6"/>
        <v>1</v>
      </c>
      <c r="V35" s="67">
        <f t="shared" si="3"/>
        <v>1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1.0</v>
      </c>
      <c r="I37" s="133">
        <v>1.0</v>
      </c>
      <c r="J37" s="133">
        <v>0.0</v>
      </c>
      <c r="K37" s="133">
        <v>0.0</v>
      </c>
      <c r="L37" s="133">
        <v>0.0</v>
      </c>
      <c r="M37" s="133">
        <v>0.0</v>
      </c>
      <c r="N37" s="133">
        <v>1.0</v>
      </c>
      <c r="O37" s="133">
        <v>1.0</v>
      </c>
      <c r="P37" s="133">
        <v>0.0</v>
      </c>
      <c r="Q37" s="133">
        <v>0.0</v>
      </c>
      <c r="R37" s="133">
        <v>0.0</v>
      </c>
      <c r="S37" s="133">
        <v>0.0</v>
      </c>
      <c r="T37" s="133">
        <v>2126.0</v>
      </c>
      <c r="U37" s="67">
        <f t="shared" si="6"/>
        <v>1</v>
      </c>
      <c r="V37" s="67">
        <f t="shared" si="3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3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133">
        <v>2.0</v>
      </c>
      <c r="H43" s="133">
        <v>1.0</v>
      </c>
      <c r="I43" s="133">
        <v>0.0</v>
      </c>
      <c r="J43" s="133">
        <v>0.0</v>
      </c>
      <c r="K43" s="133">
        <v>0.0</v>
      </c>
      <c r="L43" s="133">
        <v>0.0</v>
      </c>
      <c r="M43" s="133">
        <v>7.0</v>
      </c>
      <c r="N43" s="133">
        <v>0.0</v>
      </c>
      <c r="O43" s="133">
        <v>0.0</v>
      </c>
      <c r="P43" s="133">
        <v>0.0</v>
      </c>
      <c r="Q43" s="133">
        <v>0.0</v>
      </c>
      <c r="R43" s="133">
        <v>0.0</v>
      </c>
      <c r="S43" s="133">
        <v>1.0</v>
      </c>
      <c r="T43" s="133">
        <v>0.0</v>
      </c>
      <c r="U43" s="67">
        <f t="shared" si="6"/>
        <v>0</v>
      </c>
      <c r="V43" s="67">
        <f t="shared" si="3"/>
        <v>0.5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3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6"/>
        <v>0</v>
      </c>
      <c r="V45" s="67">
        <f t="shared" si="3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15351</v>
      </c>
      <c r="D2" s="9"/>
      <c r="E2" s="8">
        <f t="shared" ref="E2:R2" si="1">SUM(E5)</f>
        <v>0</v>
      </c>
      <c r="F2" s="8">
        <f t="shared" si="1"/>
        <v>10</v>
      </c>
      <c r="G2" s="10">
        <f t="shared" si="1"/>
        <v>6</v>
      </c>
      <c r="H2" s="10">
        <f t="shared" si="1"/>
        <v>6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15</v>
      </c>
      <c r="N2" s="10">
        <f t="shared" si="1"/>
        <v>5</v>
      </c>
      <c r="O2" s="10">
        <f t="shared" si="1"/>
        <v>5</v>
      </c>
      <c r="P2" s="10">
        <f t="shared" si="1"/>
        <v>5</v>
      </c>
      <c r="Q2" s="10">
        <f t="shared" si="1"/>
        <v>5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2558.5</v>
      </c>
      <c r="F4" s="20">
        <f>IFERROR((G2+R2)/F2,0)</f>
        <v>0.6</v>
      </c>
      <c r="G4" s="20">
        <f>IFERROR(H2/G2,0)</f>
        <v>1</v>
      </c>
      <c r="H4" s="19">
        <f>(C2/C4)</f>
        <v>529.3448276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2.5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15351</v>
      </c>
      <c r="D5" s="26"/>
      <c r="E5" s="27">
        <f>SUMIFS(T:T,A:A,B5,D:D,"Y")</f>
        <v>0</v>
      </c>
      <c r="F5" s="8">
        <f>SUMIF(A:A,B5,G:G)</f>
        <v>10</v>
      </c>
      <c r="G5" s="10">
        <f>SUMIF(A:A,B5,H:H)</f>
        <v>6</v>
      </c>
      <c r="H5" s="10">
        <f>SUMIF(A:A,B5,I:I)</f>
        <v>6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15</v>
      </c>
      <c r="N5" s="10">
        <f>SUMIF(A:A,B5,N:N)</f>
        <v>5</v>
      </c>
      <c r="O5" s="10">
        <f>SUMIF(A:A,B5,O:O)</f>
        <v>5</v>
      </c>
      <c r="P5" s="10">
        <f>SUMIF(A:A,B5,J:J)</f>
        <v>5</v>
      </c>
      <c r="Q5" s="10">
        <f>SUMIF(A:A,B5,K:K)</f>
        <v>5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2558.5</v>
      </c>
      <c r="F7" s="20">
        <f>IFERROR((G5+R5)/F5,0)</f>
        <v>0.6</v>
      </c>
      <c r="G7" s="20">
        <f>IFERROR(H5/G5,0)</f>
        <v>1</v>
      </c>
      <c r="H7" s="19">
        <f>(C5/C7)</f>
        <v>529.3448276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2.5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15351</v>
      </c>
      <c r="D8" s="36"/>
      <c r="E8" s="37">
        <f>SUMIFS(T:T,B:B,B8,D:D,"Y")</f>
        <v>0</v>
      </c>
      <c r="F8" s="38">
        <f>SUMIF(B16:B1129,B8,G16:G1129)</f>
        <v>10</v>
      </c>
      <c r="G8" s="39">
        <f>SUMIF(B16:B1129,B8,H16:H1129)</f>
        <v>6</v>
      </c>
      <c r="H8" s="38">
        <f>SUMIF(B16:B1129,B8,I16:I1129)</f>
        <v>6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15</v>
      </c>
      <c r="N8" s="39">
        <f>SUMIF(B16:B1129,B8,N16:N1129)</f>
        <v>5</v>
      </c>
      <c r="O8" s="38">
        <f>SUMIF(B16:B1129,B8,O16:O1129)</f>
        <v>5</v>
      </c>
      <c r="P8" s="39">
        <f>SUMIF(B16:B1129,B8,J16:J1129)</f>
        <v>5</v>
      </c>
      <c r="Q8" s="39">
        <f>SUMIF(B16:B1129,B8,K16:K1129)</f>
        <v>5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2558.5</v>
      </c>
      <c r="F10" s="51">
        <f>IFERROR((G8+R8)/F8,0)</f>
        <v>0.6</v>
      </c>
      <c r="G10" s="51">
        <f>IFERROR(H8/G8,0)</f>
        <v>1</v>
      </c>
      <c r="H10" s="50">
        <f>(C8/C10)</f>
        <v>590.4230769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2.5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8" si="2">IFERROR(I17/H17,0)</f>
        <v>0</v>
      </c>
      <c r="V17" s="67">
        <f t="shared" ref="V17:V4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2.0</v>
      </c>
      <c r="H24" s="133">
        <v>1.0</v>
      </c>
      <c r="I24" s="133">
        <v>1.0</v>
      </c>
      <c r="J24" s="133">
        <v>0.0</v>
      </c>
      <c r="K24" s="133">
        <v>0.0</v>
      </c>
      <c r="L24" s="133">
        <v>0.0</v>
      </c>
      <c r="M24" s="133">
        <v>7.0</v>
      </c>
      <c r="N24" s="133">
        <v>0.0</v>
      </c>
      <c r="O24" s="133">
        <v>0.0</v>
      </c>
      <c r="P24" s="133">
        <v>0.0</v>
      </c>
      <c r="Q24" s="133">
        <v>0.0</v>
      </c>
      <c r="R24" s="133">
        <v>1.0</v>
      </c>
      <c r="S24" s="133">
        <v>1.0</v>
      </c>
      <c r="T24" s="133">
        <v>1644.0</v>
      </c>
      <c r="U24" s="67">
        <f t="shared" si="2"/>
        <v>1</v>
      </c>
      <c r="V24" s="67">
        <f t="shared" si="3"/>
        <v>0.5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5.0</v>
      </c>
      <c r="H27" s="133">
        <v>4.0</v>
      </c>
      <c r="I27" s="133">
        <v>4.0</v>
      </c>
      <c r="J27" s="133">
        <v>4.0</v>
      </c>
      <c r="K27" s="133">
        <v>4.0</v>
      </c>
      <c r="L27" s="133">
        <v>0.0</v>
      </c>
      <c r="M27" s="133">
        <v>6.0</v>
      </c>
      <c r="N27" s="133">
        <v>4.0</v>
      </c>
      <c r="O27" s="133">
        <v>4.0</v>
      </c>
      <c r="P27" s="133">
        <v>0.0</v>
      </c>
      <c r="Q27" s="133">
        <v>0.0</v>
      </c>
      <c r="R27" s="133">
        <v>0.0</v>
      </c>
      <c r="S27" s="133">
        <v>0.0</v>
      </c>
      <c r="T27" s="133">
        <v>10467.0</v>
      </c>
      <c r="U27" s="67">
        <f t="shared" si="2"/>
        <v>1</v>
      </c>
      <c r="V27" s="67">
        <f t="shared" si="3"/>
        <v>0.8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>IFERROR(I31/H31,0)</f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1.0</v>
      </c>
      <c r="H32" s="133">
        <v>1.0</v>
      </c>
      <c r="I32" s="133">
        <v>1.0</v>
      </c>
      <c r="J32" s="133">
        <v>1.0</v>
      </c>
      <c r="K32" s="133">
        <v>1.0</v>
      </c>
      <c r="L32" s="133">
        <v>0.0</v>
      </c>
      <c r="M32" s="133">
        <v>2.0</v>
      </c>
      <c r="N32" s="133">
        <v>1.0</v>
      </c>
      <c r="O32" s="133">
        <v>1.0</v>
      </c>
      <c r="P32" s="133">
        <v>0.0</v>
      </c>
      <c r="Q32" s="133">
        <v>0.0</v>
      </c>
      <c r="R32" s="133">
        <v>0.0</v>
      </c>
      <c r="S32" s="133">
        <v>0.0</v>
      </c>
      <c r="T32" s="133">
        <v>3240.0</v>
      </c>
      <c r="U32" s="134">
        <v>0.0</v>
      </c>
      <c r="V32" s="67">
        <f t="shared" si="3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ref="U34:U45" si="4">IFERROR(I34/H34,0)</f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66"/>
      <c r="U35" s="67">
        <f t="shared" si="4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2.0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4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4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4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4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4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4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4"/>
        <v>0</v>
      </c>
      <c r="V42" s="67">
        <f t="shared" si="3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133">
        <v>0.0</v>
      </c>
      <c r="H43" s="133">
        <v>0.0</v>
      </c>
      <c r="I43" s="133">
        <v>0.0</v>
      </c>
      <c r="J43" s="133">
        <v>0.0</v>
      </c>
      <c r="K43" s="133">
        <v>0.0</v>
      </c>
      <c r="L43" s="133">
        <v>0.0</v>
      </c>
      <c r="M43" s="133">
        <v>0.0</v>
      </c>
      <c r="N43" s="133">
        <v>0.0</v>
      </c>
      <c r="O43" s="133">
        <v>0.0</v>
      </c>
      <c r="P43" s="133">
        <v>0.0</v>
      </c>
      <c r="Q43" s="133">
        <v>0.0</v>
      </c>
      <c r="R43" s="133">
        <v>0.0</v>
      </c>
      <c r="S43" s="133">
        <v>0.0</v>
      </c>
      <c r="T43" s="133">
        <v>0.0</v>
      </c>
      <c r="U43" s="67">
        <f t="shared" si="4"/>
        <v>0</v>
      </c>
      <c r="V43" s="67">
        <f t="shared" si="3"/>
        <v>0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4"/>
        <v>0</v>
      </c>
      <c r="V44" s="67">
        <f t="shared" si="3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4"/>
        <v>0</v>
      </c>
      <c r="V45" s="67">
        <f t="shared" si="3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8083</v>
      </c>
      <c r="D2" s="9"/>
      <c r="E2" s="8">
        <f t="shared" ref="E2:R2" si="1">SUM(E5)</f>
        <v>0</v>
      </c>
      <c r="F2" s="8">
        <f t="shared" si="1"/>
        <v>9</v>
      </c>
      <c r="G2" s="10">
        <f t="shared" si="1"/>
        <v>4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2</v>
      </c>
      <c r="M2" s="10">
        <f t="shared" si="1"/>
        <v>11</v>
      </c>
      <c r="N2" s="10">
        <f t="shared" si="1"/>
        <v>2</v>
      </c>
      <c r="O2" s="10">
        <f t="shared" si="1"/>
        <v>1</v>
      </c>
      <c r="P2" s="10">
        <f t="shared" si="1"/>
        <v>4</v>
      </c>
      <c r="Q2" s="10">
        <f t="shared" si="1"/>
        <v>3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2694.333333</v>
      </c>
      <c r="F4" s="20">
        <f>IFERROR((G2+R2)/F2,0)</f>
        <v>0.4444444444</v>
      </c>
      <c r="G4" s="20">
        <f>IFERROR(H2/G2,0)</f>
        <v>0.75</v>
      </c>
      <c r="H4" s="19">
        <f>(C2/C4)</f>
        <v>278.7241379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2.75</v>
      </c>
      <c r="N4" s="21"/>
      <c r="O4" s="20">
        <f>IFERROR(O2/N2,0)</f>
        <v>0.5</v>
      </c>
      <c r="P4" s="22"/>
      <c r="Q4" s="20">
        <f>IFERROR(Q2/P2,0)</f>
        <v>0.75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8083</v>
      </c>
      <c r="D5" s="26"/>
      <c r="E5" s="27">
        <f>SUMIFS(T:T,A:A,B5,D:D,"Y")</f>
        <v>0</v>
      </c>
      <c r="F5" s="8">
        <f>SUMIF(A:A,B5,G:G)</f>
        <v>9</v>
      </c>
      <c r="G5" s="10">
        <f>SUMIF(A:A,B5,H:H)</f>
        <v>4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2</v>
      </c>
      <c r="M5" s="10">
        <f>SUMIF(A:A,B5,M:M)</f>
        <v>11</v>
      </c>
      <c r="N5" s="10">
        <f>SUMIF(A:A,B5,N:N)</f>
        <v>2</v>
      </c>
      <c r="O5" s="10">
        <f>SUMIF(A:A,B5,O:O)</f>
        <v>1</v>
      </c>
      <c r="P5" s="10">
        <f>SUMIF(A:A,B5,J:J)</f>
        <v>4</v>
      </c>
      <c r="Q5" s="10">
        <f>SUMIF(A:A,B5,K:K)</f>
        <v>3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2694.333333</v>
      </c>
      <c r="F7" s="20">
        <f>IFERROR((G5+R5)/F5,0)</f>
        <v>0.4444444444</v>
      </c>
      <c r="G7" s="20">
        <f>IFERROR(H5/G5,0)</f>
        <v>0.75</v>
      </c>
      <c r="H7" s="19">
        <f>(C5/C7)</f>
        <v>278.7241379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2.75</v>
      </c>
      <c r="N7" s="21"/>
      <c r="O7" s="20">
        <f>IFERROR(O5/N5,0)</f>
        <v>0.5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8083</v>
      </c>
      <c r="D8" s="36"/>
      <c r="E8" s="37">
        <f>SUMIFS(T:T,B:B,B8,D:D,"Y")</f>
        <v>0</v>
      </c>
      <c r="F8" s="38">
        <f>SUMIF(B16:B1129,B8,G16:G1129)</f>
        <v>9</v>
      </c>
      <c r="G8" s="39">
        <f>SUMIF(B16:B1129,B8,H16:H1129)</f>
        <v>4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2</v>
      </c>
      <c r="M8" s="39">
        <f>SUMIF(B16:B1129,B8,M16:M1129)</f>
        <v>11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4</v>
      </c>
      <c r="Q8" s="39">
        <f>SUMIF(B16:B1129,B8,K16:K1129)</f>
        <v>3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2694.333333</v>
      </c>
      <c r="F10" s="51">
        <f>IFERROR((G8+R8)/F8,0)</f>
        <v>0.4444444444</v>
      </c>
      <c r="G10" s="51">
        <f>IFERROR(H8/G8,0)</f>
        <v>0.75</v>
      </c>
      <c r="H10" s="50">
        <f>(C8/C10)</f>
        <v>310.8846154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2.75</v>
      </c>
      <c r="N10" s="46"/>
      <c r="O10" s="51">
        <f>IFERROR(O8/N8,0)</f>
        <v>0.5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1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134">
        <v>0.0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1.0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ref="U23:U27" si="4">IFERROR(I23/H23,0)</f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4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4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4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6.0</v>
      </c>
      <c r="H27" s="133">
        <v>2.0</v>
      </c>
      <c r="I27" s="133">
        <v>2.0</v>
      </c>
      <c r="J27" s="133">
        <v>2.0</v>
      </c>
      <c r="K27" s="133">
        <v>2.0</v>
      </c>
      <c r="L27" s="133">
        <v>0.0</v>
      </c>
      <c r="M27" s="133">
        <v>6.0</v>
      </c>
      <c r="N27" s="133">
        <v>1.0</v>
      </c>
      <c r="O27" s="133">
        <v>1.0</v>
      </c>
      <c r="P27" s="133">
        <v>0.0</v>
      </c>
      <c r="Q27" s="133">
        <v>0.0</v>
      </c>
      <c r="R27" s="133">
        <v>1.0</v>
      </c>
      <c r="S27" s="133">
        <v>1.0</v>
      </c>
      <c r="T27" s="133">
        <v>6110.0</v>
      </c>
      <c r="U27" s="67">
        <f t="shared" si="4"/>
        <v>1</v>
      </c>
      <c r="V27" s="67">
        <f t="shared" si="3"/>
        <v>0.3333333333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1.0</v>
      </c>
      <c r="H28" s="133">
        <v>1.0</v>
      </c>
      <c r="I28" s="133">
        <v>0.0</v>
      </c>
      <c r="J28" s="133">
        <v>1.0</v>
      </c>
      <c r="K28" s="133">
        <v>0.0</v>
      </c>
      <c r="L28" s="133">
        <v>0.0</v>
      </c>
      <c r="M28" s="133">
        <v>0.0</v>
      </c>
      <c r="N28" s="133">
        <v>1.0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67">
        <f>IFERROR(SUM(H29+L29)/G29,0)</f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134">
        <v>0.0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>IFERROR(I31/H31,0)</f>
        <v>0</v>
      </c>
      <c r="V31" s="67">
        <f t="shared" ref="V31:V33" si="5">IFERROR(SUM(H31+L31)/G31,0)</f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5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>IFERROR(I33/H33,0)</f>
        <v>0</v>
      </c>
      <c r="V33" s="67">
        <f t="shared" si="5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134">
        <v>0.0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5" si="6">IFERROR(I35/H35,0)</f>
        <v>0</v>
      </c>
      <c r="V35" s="67">
        <f t="shared" ref="V35:V45" si="7">IFERROR(SUM(H35+L35)/G35,0)</f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7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6"/>
        <v>0</v>
      </c>
      <c r="V37" s="67">
        <f t="shared" si="7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7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7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7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7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7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133">
        <v>1.0</v>
      </c>
      <c r="H43" s="133">
        <v>1.0</v>
      </c>
      <c r="I43" s="133">
        <v>1.0</v>
      </c>
      <c r="J43" s="133">
        <v>1.0</v>
      </c>
      <c r="K43" s="133">
        <v>1.0</v>
      </c>
      <c r="L43" s="133">
        <v>0.0</v>
      </c>
      <c r="M43" s="133">
        <v>5.0</v>
      </c>
      <c r="N43" s="133">
        <v>0.0</v>
      </c>
      <c r="O43" s="133">
        <v>0.0</v>
      </c>
      <c r="P43" s="133">
        <v>0.0</v>
      </c>
      <c r="Q43" s="133">
        <v>0.0</v>
      </c>
      <c r="R43" s="133">
        <v>1.0</v>
      </c>
      <c r="S43" s="133">
        <v>1.0</v>
      </c>
      <c r="T43" s="133">
        <v>1973.0</v>
      </c>
      <c r="U43" s="67">
        <f t="shared" si="6"/>
        <v>1</v>
      </c>
      <c r="V43" s="67">
        <f t="shared" si="7"/>
        <v>1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7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6"/>
        <v>0</v>
      </c>
      <c r="V45" s="67">
        <f t="shared" si="7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11154</v>
      </c>
      <c r="D2" s="9"/>
      <c r="E2" s="8">
        <f t="shared" ref="E2:R2" si="1">SUM(E5)</f>
        <v>0</v>
      </c>
      <c r="F2" s="8">
        <f t="shared" si="1"/>
        <v>28</v>
      </c>
      <c r="G2" s="10">
        <f t="shared" si="1"/>
        <v>13</v>
      </c>
      <c r="H2" s="10">
        <f t="shared" si="1"/>
        <v>6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1</v>
      </c>
      <c r="M2" s="10">
        <f t="shared" si="1"/>
        <v>33</v>
      </c>
      <c r="N2" s="10">
        <f t="shared" si="1"/>
        <v>12</v>
      </c>
      <c r="O2" s="10">
        <f t="shared" si="1"/>
        <v>7</v>
      </c>
      <c r="P2" s="10">
        <f t="shared" si="1"/>
        <v>6</v>
      </c>
      <c r="Q2" s="10">
        <f t="shared" si="1"/>
        <v>4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1859</v>
      </c>
      <c r="F4" s="20">
        <f>IFERROR((G2+R2)/F2,0)</f>
        <v>0.5357142857</v>
      </c>
      <c r="G4" s="20">
        <f>IFERROR(H2/G2,0)</f>
        <v>0.4615384615</v>
      </c>
      <c r="H4" s="19">
        <f>(C2/C4)</f>
        <v>384.6206897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2.538461538</v>
      </c>
      <c r="N4" s="21"/>
      <c r="O4" s="20">
        <f>IFERROR(O2/N2,0)</f>
        <v>0.5833333333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11154</v>
      </c>
      <c r="D5" s="26"/>
      <c r="E5" s="27">
        <f>SUMIFS(T:T,A:A,B5,D:D,"Y")</f>
        <v>0</v>
      </c>
      <c r="F5" s="8">
        <f>SUMIF(A:A,B5,G:G)</f>
        <v>28</v>
      </c>
      <c r="G5" s="10">
        <f>SUMIF(A:A,B5,H:H)</f>
        <v>13</v>
      </c>
      <c r="H5" s="10">
        <f>SUMIF(A:A,B5,I:I)</f>
        <v>6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1</v>
      </c>
      <c r="M5" s="10">
        <f>SUMIF(A:A,B5,M:M)</f>
        <v>33</v>
      </c>
      <c r="N5" s="10">
        <f>SUMIF(A:A,B5,N:N)</f>
        <v>12</v>
      </c>
      <c r="O5" s="10">
        <f>SUMIF(A:A,B5,O:O)</f>
        <v>7</v>
      </c>
      <c r="P5" s="10">
        <f>SUMIF(A:A,B5,J:J)</f>
        <v>6</v>
      </c>
      <c r="Q5" s="10">
        <f>SUMIF(A:A,B5,K:K)</f>
        <v>4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1859</v>
      </c>
      <c r="F7" s="20">
        <f>IFERROR((G5+R5)/F5,0)</f>
        <v>0.5357142857</v>
      </c>
      <c r="G7" s="20">
        <f>IFERROR(H5/G5,0)</f>
        <v>0.4615384615</v>
      </c>
      <c r="H7" s="19">
        <f>(C5/C7)</f>
        <v>384.6206897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2.2</v>
      </c>
      <c r="N7" s="21"/>
      <c r="O7" s="20">
        <f>IFERROR(O5/N5,0)</f>
        <v>0.5833333333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11154</v>
      </c>
      <c r="D8" s="36"/>
      <c r="E8" s="37">
        <f>SUMIFS(T:T,B:B,B8,D:D,"Y")</f>
        <v>0</v>
      </c>
      <c r="F8" s="38">
        <f>SUMIF(B16:B1129,B8,G16:G1129)</f>
        <v>28</v>
      </c>
      <c r="G8" s="39">
        <f>SUMIF(B16:B1129,B8,H16:H1129)</f>
        <v>13</v>
      </c>
      <c r="H8" s="38">
        <f>SUMIF(B16:B1129,B8,I16:I1129)</f>
        <v>6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1</v>
      </c>
      <c r="M8" s="39">
        <f>SUMIF(B16:B1129,B8,M16:M1129)</f>
        <v>33</v>
      </c>
      <c r="N8" s="39">
        <f>SUMIF(B16:B1129,B8,N16:N1129)</f>
        <v>12</v>
      </c>
      <c r="O8" s="38">
        <f>SUMIF(B16:B1129,B8,O16:O1129)</f>
        <v>7</v>
      </c>
      <c r="P8" s="39">
        <f>SUMIF(B16:B1129,B8,J16:J1129)</f>
        <v>6</v>
      </c>
      <c r="Q8" s="39">
        <f>SUMIF(B16:B1129,B8,K16:K1129)</f>
        <v>4</v>
      </c>
      <c r="R8" s="38">
        <f>SUMIF(B16:B1129,B8,L16:L1129)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1859</v>
      </c>
      <c r="F10" s="51">
        <f>IFERROR((G8+R8)/F8,0)</f>
        <v>0.5357142857</v>
      </c>
      <c r="G10" s="51">
        <f>IFERROR(H8/G8,0)</f>
        <v>0.4615384615</v>
      </c>
      <c r="H10" s="50">
        <f>(C8/C10)</f>
        <v>429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2.2</v>
      </c>
      <c r="N10" s="46"/>
      <c r="O10" s="51">
        <f>IFERROR(O8/N8,0)</f>
        <v>0.5833333333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1" si="2">IFERROR(I17/H17,0)</f>
        <v>0</v>
      </c>
      <c r="V17" s="67">
        <f t="shared" ref="V17:V2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4"/>
      <c r="V22" s="134">
        <v>0.0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1.0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134"/>
      <c r="V23" s="67">
        <f t="shared" ref="V23:V45" si="4">IFERROR(SUM(H23+L23)/G23,0)</f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7.0</v>
      </c>
      <c r="H24" s="133">
        <v>2.0</v>
      </c>
      <c r="I24" s="133">
        <v>0.0</v>
      </c>
      <c r="J24" s="133">
        <v>1.0</v>
      </c>
      <c r="K24" s="133">
        <v>0.0</v>
      </c>
      <c r="L24" s="133">
        <v>0.0</v>
      </c>
      <c r="M24" s="133">
        <v>5.0</v>
      </c>
      <c r="N24" s="133">
        <v>2.0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134"/>
      <c r="V24" s="67">
        <f t="shared" si="4"/>
        <v>0.2857142857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5.0</v>
      </c>
      <c r="H25" s="133">
        <v>3.0</v>
      </c>
      <c r="I25" s="133">
        <v>2.0</v>
      </c>
      <c r="J25" s="133">
        <v>1.0</v>
      </c>
      <c r="K25" s="133">
        <v>1.0</v>
      </c>
      <c r="L25" s="133">
        <v>1.0</v>
      </c>
      <c r="M25" s="133">
        <v>4.0</v>
      </c>
      <c r="N25" s="133">
        <v>3.0</v>
      </c>
      <c r="O25" s="133">
        <v>2.0</v>
      </c>
      <c r="P25" s="133">
        <v>0.0</v>
      </c>
      <c r="Q25" s="133">
        <v>0.0</v>
      </c>
      <c r="R25" s="133">
        <v>0.0</v>
      </c>
      <c r="S25" s="133">
        <v>0.0</v>
      </c>
      <c r="T25" s="133">
        <v>3542.0</v>
      </c>
      <c r="U25" s="134"/>
      <c r="V25" s="67">
        <f t="shared" si="4"/>
        <v>0.8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ref="U26:U29" si="5">IFERROR(I26/H26,0)</f>
        <v>0</v>
      </c>
      <c r="V26" s="67">
        <f t="shared" si="4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3.0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0.0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2554.0</v>
      </c>
      <c r="U27" s="67">
        <f t="shared" si="5"/>
        <v>1</v>
      </c>
      <c r="V27" s="67">
        <f t="shared" si="4"/>
        <v>0.3333333333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5"/>
        <v>0</v>
      </c>
      <c r="V28" s="67">
        <f t="shared" si="4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5.0</v>
      </c>
      <c r="H29" s="133">
        <v>2.0</v>
      </c>
      <c r="I29" s="133">
        <v>1.0</v>
      </c>
      <c r="J29" s="133">
        <v>0.0</v>
      </c>
      <c r="K29" s="133">
        <v>0.0</v>
      </c>
      <c r="L29" s="133">
        <v>0.0</v>
      </c>
      <c r="M29" s="133">
        <v>5.0</v>
      </c>
      <c r="N29" s="133">
        <v>1.0</v>
      </c>
      <c r="O29" s="133">
        <v>1.0</v>
      </c>
      <c r="P29" s="133">
        <v>0.0</v>
      </c>
      <c r="Q29" s="133">
        <v>0.0</v>
      </c>
      <c r="R29" s="133">
        <v>0.0</v>
      </c>
      <c r="S29" s="133">
        <v>0.0</v>
      </c>
      <c r="T29" s="133">
        <v>1900.0</v>
      </c>
      <c r="U29" s="67">
        <f t="shared" si="5"/>
        <v>0.5</v>
      </c>
      <c r="V29" s="67">
        <f t="shared" si="4"/>
        <v>0.4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4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3.0</v>
      </c>
      <c r="H31" s="133">
        <v>1.0</v>
      </c>
      <c r="I31" s="133">
        <v>1.0</v>
      </c>
      <c r="J31" s="133">
        <v>1.0</v>
      </c>
      <c r="K31" s="133">
        <v>1.0</v>
      </c>
      <c r="L31" s="133">
        <v>0.0</v>
      </c>
      <c r="M31" s="133">
        <v>3.0</v>
      </c>
      <c r="N31" s="133">
        <v>1.0</v>
      </c>
      <c r="O31" s="133">
        <v>1.0</v>
      </c>
      <c r="P31" s="133">
        <v>0.0</v>
      </c>
      <c r="Q31" s="133">
        <v>0.0</v>
      </c>
      <c r="R31" s="133">
        <v>0.0</v>
      </c>
      <c r="S31" s="133">
        <v>0.0</v>
      </c>
      <c r="T31" s="133">
        <v>614.0</v>
      </c>
      <c r="U31" s="134">
        <v>0.0</v>
      </c>
      <c r="V31" s="67">
        <f t="shared" si="4"/>
        <v>0.3333333333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1.0</v>
      </c>
      <c r="H32" s="133">
        <v>1.0</v>
      </c>
      <c r="I32" s="133">
        <v>1.0</v>
      </c>
      <c r="J32" s="133">
        <v>1.0</v>
      </c>
      <c r="K32" s="133">
        <v>1.0</v>
      </c>
      <c r="L32" s="133">
        <v>0.0</v>
      </c>
      <c r="M32" s="133">
        <v>4.0</v>
      </c>
      <c r="N32" s="133">
        <v>1.0</v>
      </c>
      <c r="O32" s="133">
        <v>1.0</v>
      </c>
      <c r="P32" s="133">
        <v>0.0</v>
      </c>
      <c r="Q32" s="133">
        <v>0.0</v>
      </c>
      <c r="R32" s="133">
        <v>0.0</v>
      </c>
      <c r="S32" s="133">
        <v>0.0</v>
      </c>
      <c r="T32" s="133">
        <v>2544.0</v>
      </c>
      <c r="U32" s="134">
        <v>0.0</v>
      </c>
      <c r="V32" s="67">
        <f t="shared" si="4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1.0</v>
      </c>
      <c r="H33" s="133">
        <v>1.0</v>
      </c>
      <c r="I33" s="133">
        <v>0.0</v>
      </c>
      <c r="J33" s="133">
        <v>0.0</v>
      </c>
      <c r="K33" s="133">
        <v>0.0</v>
      </c>
      <c r="L33" s="133">
        <v>0.0</v>
      </c>
      <c r="M33" s="133">
        <v>8.0</v>
      </c>
      <c r="N33" s="133">
        <v>1.0</v>
      </c>
      <c r="O33" s="133">
        <v>1.0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4"/>
        <v>1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1.0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4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5" si="6">IFERROR(I35/H35,0)</f>
        <v>0</v>
      </c>
      <c r="V35" s="67">
        <f t="shared" si="4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4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1.0</v>
      </c>
      <c r="T37" s="133">
        <v>0.0</v>
      </c>
      <c r="U37" s="67">
        <f t="shared" si="6"/>
        <v>0</v>
      </c>
      <c r="V37" s="67">
        <f t="shared" si="4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4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4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4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4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133">
        <v>2.0</v>
      </c>
      <c r="H43" s="133">
        <v>2.0</v>
      </c>
      <c r="I43" s="133">
        <v>0.0</v>
      </c>
      <c r="J43" s="133">
        <v>1.0</v>
      </c>
      <c r="K43" s="133">
        <v>0.0</v>
      </c>
      <c r="L43" s="133">
        <v>0.0</v>
      </c>
      <c r="M43" s="133">
        <v>4.0</v>
      </c>
      <c r="N43" s="133">
        <v>2.0</v>
      </c>
      <c r="O43" s="133">
        <v>0.0</v>
      </c>
      <c r="P43" s="133">
        <v>0.0</v>
      </c>
      <c r="Q43" s="133">
        <v>0.0</v>
      </c>
      <c r="R43" s="133">
        <v>0.0</v>
      </c>
      <c r="S43" s="133">
        <v>0.0</v>
      </c>
      <c r="T43" s="133">
        <v>0.0</v>
      </c>
      <c r="U43" s="67">
        <f t="shared" si="6"/>
        <v>0</v>
      </c>
      <c r="V43" s="67">
        <f t="shared" si="4"/>
        <v>1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4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6"/>
        <v>0</v>
      </c>
      <c r="V45" s="67">
        <f t="shared" si="4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16427</v>
      </c>
      <c r="D2" s="9"/>
      <c r="E2" s="8">
        <f t="shared" ref="E2:R2" si="1">SUM(E5)</f>
        <v>1679</v>
      </c>
      <c r="F2" s="8">
        <f t="shared" si="1"/>
        <v>18</v>
      </c>
      <c r="G2" s="10">
        <f t="shared" si="1"/>
        <v>10</v>
      </c>
      <c r="H2" s="10">
        <f t="shared" si="1"/>
        <v>6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2</v>
      </c>
      <c r="M2" s="10">
        <f t="shared" si="1"/>
        <v>20</v>
      </c>
      <c r="N2" s="10">
        <f t="shared" si="1"/>
        <v>7</v>
      </c>
      <c r="O2" s="10">
        <f t="shared" si="1"/>
        <v>5</v>
      </c>
      <c r="P2" s="10">
        <f t="shared" si="1"/>
        <v>7</v>
      </c>
      <c r="Q2" s="10">
        <f t="shared" si="1"/>
        <v>6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2737.833333</v>
      </c>
      <c r="F4" s="20">
        <f>IFERROR((G2+R2)/F2,0)</f>
        <v>0.6666666667</v>
      </c>
      <c r="G4" s="20">
        <f>IFERROR(H2/G2,0)</f>
        <v>0.6</v>
      </c>
      <c r="H4" s="19">
        <f>(C2/C4)</f>
        <v>566.4482759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2</v>
      </c>
      <c r="N4" s="21"/>
      <c r="O4" s="20">
        <f>IFERROR(O2/N2,0)</f>
        <v>0.7142857143</v>
      </c>
      <c r="P4" s="22"/>
      <c r="Q4" s="20">
        <f>IFERROR(Q2/P2,0)</f>
        <v>0.8571428571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16427</v>
      </c>
      <c r="D5" s="26"/>
      <c r="E5" s="27">
        <f>SUMIFS(T:T,A:A,B5,D:D,"Y")</f>
        <v>1679</v>
      </c>
      <c r="F5" s="8">
        <f>SUMIF(A:A,B5,G:G)</f>
        <v>18</v>
      </c>
      <c r="G5" s="10">
        <f>SUMIF(A:A,B5,H:H)</f>
        <v>10</v>
      </c>
      <c r="H5" s="10">
        <f>SUMIF(A:A,B5,I:I)</f>
        <v>6</v>
      </c>
      <c r="I5" s="10">
        <f>SUMIF(A:A,B5,P:P)</f>
        <v>0</v>
      </c>
      <c r="J5" s="10">
        <f>SUMIF(A:A,B5,Q:Q)</f>
        <v>0</v>
      </c>
      <c r="K5" s="10">
        <f>SUMIF(A:A,B5,R:R)</f>
        <v>3</v>
      </c>
      <c r="L5" s="10">
        <f>SUMIF(A:A,B5,S:S)</f>
        <v>2</v>
      </c>
      <c r="M5" s="10">
        <f>SUMIF(A:A,B5,M:M)</f>
        <v>20</v>
      </c>
      <c r="N5" s="10">
        <f>SUMIF(A:A,B5,N:N)</f>
        <v>7</v>
      </c>
      <c r="O5" s="10">
        <f>SUMIF(A:A,B5,O:O)</f>
        <v>5</v>
      </c>
      <c r="P5" s="10">
        <f>SUMIF(A:A,B5,J:J)</f>
        <v>7</v>
      </c>
      <c r="Q5" s="10">
        <f>SUMIF(A:A,B5,K:K)</f>
        <v>6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2737.833333</v>
      </c>
      <c r="F7" s="20">
        <f>IFERROR((G5+R5)/F5,0)</f>
        <v>0.6666666667</v>
      </c>
      <c r="G7" s="20">
        <f>IFERROR(H5/G5,0)</f>
        <v>0.6</v>
      </c>
      <c r="H7" s="19">
        <f>(C5/C7)</f>
        <v>566.4482759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1.666666667</v>
      </c>
      <c r="N7" s="21"/>
      <c r="O7" s="20">
        <f>IFERROR(O5/N5,0)</f>
        <v>0.7142857143</v>
      </c>
      <c r="P7" s="22"/>
      <c r="Q7" s="20">
        <f>IFERROR(Q5/P5,0)</f>
        <v>0.8571428571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16427</v>
      </c>
      <c r="D8" s="36"/>
      <c r="E8" s="37">
        <f>SUMIFS(T:T,B:B,B8,D:D,"Y")</f>
        <v>1679</v>
      </c>
      <c r="F8" s="38">
        <f>SUMIF(B16:B1129,B8,G16:G1129)</f>
        <v>18</v>
      </c>
      <c r="G8" s="39">
        <f>SUMIF(B16:B1129,B8,H16:H1129)</f>
        <v>10</v>
      </c>
      <c r="H8" s="38">
        <f>SUMIF(B16:B1129,B8,I16:I1129)</f>
        <v>6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3</v>
      </c>
      <c r="L8" s="39">
        <f>SUMIF(B16:B1129,B8,S16:S1129)</f>
        <v>2</v>
      </c>
      <c r="M8" s="39">
        <f>SUMIF(B16:B1129,B8,M16:M1129)</f>
        <v>20</v>
      </c>
      <c r="N8" s="39">
        <f>SUMIF(B16:B1129,B8,N16:N1129)</f>
        <v>7</v>
      </c>
      <c r="O8" s="38">
        <f>SUMIF(B16:B1129,B8,O16:O1129)</f>
        <v>5</v>
      </c>
      <c r="P8" s="39">
        <f>SUMIF(B16:B1129,B8,J16:J1129)</f>
        <v>7</v>
      </c>
      <c r="Q8" s="39">
        <f>SUMIF(B16:B1129,B8,K16:K1129)</f>
        <v>6</v>
      </c>
      <c r="R8" s="38">
        <f>SUMIF(B16:B1129,B8,L16:L1129)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2737.833333</v>
      </c>
      <c r="F10" s="51">
        <f>IFERROR((G8+R8)/F8,0)</f>
        <v>0.6666666667</v>
      </c>
      <c r="G10" s="51">
        <f>IFERROR(H8/G8,0)</f>
        <v>0.6</v>
      </c>
      <c r="H10" s="50">
        <f>(C8/C10)</f>
        <v>631.8076923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1.666666667</v>
      </c>
      <c r="N10" s="46"/>
      <c r="O10" s="51">
        <f>IFERROR(O8/N8,0)</f>
        <v>0.7142857143</v>
      </c>
      <c r="P10" s="53"/>
      <c r="Q10" s="51">
        <f>IFERROR(Q8/P8,0)</f>
        <v>0.8571428571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1.0</v>
      </c>
      <c r="K22" s="133">
        <v>1.0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1.0</v>
      </c>
      <c r="S22" s="133">
        <v>1.0</v>
      </c>
      <c r="T22" s="133">
        <v>1679.0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6.0</v>
      </c>
      <c r="H24" s="133">
        <v>2.0</v>
      </c>
      <c r="I24" s="133">
        <v>2.0</v>
      </c>
      <c r="J24" s="133">
        <v>1.0</v>
      </c>
      <c r="K24" s="133">
        <v>1.0</v>
      </c>
      <c r="L24" s="133">
        <v>0.0</v>
      </c>
      <c r="M24" s="133">
        <v>5.0</v>
      </c>
      <c r="N24" s="133">
        <v>2.0</v>
      </c>
      <c r="O24" s="133">
        <v>2.0</v>
      </c>
      <c r="P24" s="133">
        <v>0.0</v>
      </c>
      <c r="Q24" s="133">
        <v>0.0</v>
      </c>
      <c r="R24" s="133">
        <v>0.0</v>
      </c>
      <c r="S24" s="133">
        <v>0.0</v>
      </c>
      <c r="T24" s="133">
        <v>3504.0</v>
      </c>
      <c r="U24" s="67">
        <f t="shared" si="2"/>
        <v>1</v>
      </c>
      <c r="V24" s="67">
        <f t="shared" si="3"/>
        <v>0.3333333333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2.0</v>
      </c>
      <c r="H25" s="133">
        <v>3.0</v>
      </c>
      <c r="I25" s="133">
        <v>0.0</v>
      </c>
      <c r="J25" s="133">
        <v>0.0</v>
      </c>
      <c r="K25" s="133">
        <v>0.0</v>
      </c>
      <c r="L25" s="133">
        <v>1.0</v>
      </c>
      <c r="M25" s="133">
        <v>4.0</v>
      </c>
      <c r="N25" s="133">
        <v>2.0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2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3.0</v>
      </c>
      <c r="H27" s="133">
        <v>2.0</v>
      </c>
      <c r="I27" s="133">
        <v>2.0</v>
      </c>
      <c r="J27" s="133">
        <v>2.0</v>
      </c>
      <c r="K27" s="133">
        <v>2.0</v>
      </c>
      <c r="L27" s="133">
        <v>0.0</v>
      </c>
      <c r="M27" s="133">
        <v>2.0</v>
      </c>
      <c r="N27" s="133">
        <v>2.0</v>
      </c>
      <c r="O27" s="133">
        <v>2.0</v>
      </c>
      <c r="P27" s="133">
        <v>0.0</v>
      </c>
      <c r="Q27" s="133">
        <v>0.0</v>
      </c>
      <c r="R27" s="133">
        <v>0.0</v>
      </c>
      <c r="S27" s="133">
        <v>0.0</v>
      </c>
      <c r="T27" s="133">
        <v>5700.0</v>
      </c>
      <c r="U27" s="67">
        <f t="shared" si="2"/>
        <v>1</v>
      </c>
      <c r="V27" s="67">
        <f t="shared" si="3"/>
        <v>0.6666666667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1.0</v>
      </c>
      <c r="H29" s="133">
        <v>1.0</v>
      </c>
      <c r="I29" s="133">
        <v>1.0</v>
      </c>
      <c r="J29" s="133">
        <v>1.0</v>
      </c>
      <c r="K29" s="133">
        <v>1.0</v>
      </c>
      <c r="L29" s="133">
        <v>0.0</v>
      </c>
      <c r="M29" s="133">
        <v>0.0</v>
      </c>
      <c r="N29" s="133">
        <v>1.0</v>
      </c>
      <c r="O29" s="133">
        <v>1.0</v>
      </c>
      <c r="P29" s="133">
        <v>0.0</v>
      </c>
      <c r="Q29" s="133">
        <v>0.0</v>
      </c>
      <c r="R29" s="133">
        <v>0.0</v>
      </c>
      <c r="S29" s="133">
        <v>0.0</v>
      </c>
      <c r="T29" s="133">
        <v>3000.0</v>
      </c>
      <c r="U29" s="67">
        <f>IFERROR(I29/H29,0)</f>
        <v>1</v>
      </c>
      <c r="V29" s="67">
        <f t="shared" ref="V29:V45" si="4">IFERROR(SUM(H29+L29)/G29,0)</f>
        <v>1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4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1.0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4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1.0</v>
      </c>
      <c r="H32" s="133">
        <v>1.0</v>
      </c>
      <c r="I32" s="133">
        <v>1.0</v>
      </c>
      <c r="J32" s="133">
        <v>1.0</v>
      </c>
      <c r="K32" s="133">
        <v>1.0</v>
      </c>
      <c r="L32" s="133">
        <v>0.0</v>
      </c>
      <c r="M32" s="133">
        <v>4.0</v>
      </c>
      <c r="N32" s="133">
        <v>0.0</v>
      </c>
      <c r="O32" s="133">
        <v>0.0</v>
      </c>
      <c r="P32" s="133">
        <v>0.0</v>
      </c>
      <c r="Q32" s="133">
        <v>0.0</v>
      </c>
      <c r="R32" s="133">
        <v>1.0</v>
      </c>
      <c r="S32" s="133">
        <v>1.0</v>
      </c>
      <c r="T32" s="133">
        <v>2544.0</v>
      </c>
      <c r="U32" s="67">
        <f t="shared" ref="U32:U33" si="5">IFERROR(I32/H32,0)</f>
        <v>1</v>
      </c>
      <c r="V32" s="67">
        <f t="shared" si="4"/>
        <v>1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5"/>
        <v>0</v>
      </c>
      <c r="V33" s="67">
        <f t="shared" si="4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1.0</v>
      </c>
      <c r="M34" s="133">
        <v>5.0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4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5" si="6">IFERROR(I35/H35,0)</f>
        <v>0</v>
      </c>
      <c r="V35" s="67">
        <f t="shared" si="4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4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1.0</v>
      </c>
      <c r="I37" s="133">
        <v>0.0</v>
      </c>
      <c r="J37" s="133">
        <v>1.0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1.0</v>
      </c>
      <c r="S37" s="133">
        <v>0.0</v>
      </c>
      <c r="T37" s="133">
        <v>0.0</v>
      </c>
      <c r="U37" s="67">
        <f t="shared" si="6"/>
        <v>0</v>
      </c>
      <c r="V37" s="67">
        <f t="shared" si="4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4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4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4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4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133">
        <v>3.0</v>
      </c>
      <c r="H43" s="133">
        <v>0.0</v>
      </c>
      <c r="I43" s="133">
        <v>0.0</v>
      </c>
      <c r="J43" s="133">
        <v>0.0</v>
      </c>
      <c r="K43" s="133">
        <v>0.0</v>
      </c>
      <c r="L43" s="133">
        <v>0.0</v>
      </c>
      <c r="M43" s="133">
        <v>0.0</v>
      </c>
      <c r="N43" s="133">
        <v>0.0</v>
      </c>
      <c r="O43" s="133">
        <v>0.0</v>
      </c>
      <c r="P43" s="133">
        <v>0.0</v>
      </c>
      <c r="Q43" s="133">
        <v>0.0</v>
      </c>
      <c r="R43" s="133">
        <v>0.0</v>
      </c>
      <c r="S43" s="133">
        <v>0.0</v>
      </c>
      <c r="T43" s="133">
        <v>0.0</v>
      </c>
      <c r="U43" s="67">
        <f t="shared" si="6"/>
        <v>0</v>
      </c>
      <c r="V43" s="67">
        <f t="shared" si="4"/>
        <v>0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4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6"/>
        <v>0</v>
      </c>
      <c r="V45" s="67">
        <f t="shared" si="4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1028</v>
      </c>
      <c r="D2" s="9"/>
      <c r="E2" s="8">
        <f t="shared" ref="E2:R2" si="1">SUM(E5)</f>
        <v>1028</v>
      </c>
      <c r="F2" s="8">
        <f t="shared" si="1"/>
        <v>2</v>
      </c>
      <c r="G2" s="10">
        <f t="shared" si="1"/>
        <v>2</v>
      </c>
      <c r="H2" s="10">
        <f t="shared" si="1"/>
        <v>1</v>
      </c>
      <c r="I2" s="10">
        <f t="shared" si="1"/>
        <v>1</v>
      </c>
      <c r="J2" s="10">
        <f t="shared" si="1"/>
        <v>1</v>
      </c>
      <c r="K2" s="10">
        <f t="shared" si="1"/>
        <v>0</v>
      </c>
      <c r="L2" s="10">
        <f t="shared" si="1"/>
        <v>0</v>
      </c>
      <c r="M2" s="10">
        <f t="shared" si="1"/>
        <v>4</v>
      </c>
      <c r="N2" s="10">
        <f t="shared" si="1"/>
        <v>1</v>
      </c>
      <c r="O2" s="10">
        <f t="shared" si="1"/>
        <v>0</v>
      </c>
      <c r="P2" s="10">
        <f t="shared" si="1"/>
        <v>2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1028</v>
      </c>
      <c r="F4" s="20">
        <f>IFERROR((G2+R2)/F2,0)</f>
        <v>1</v>
      </c>
      <c r="G4" s="20">
        <f>IFERROR(H2/G2,0)</f>
        <v>0.5</v>
      </c>
      <c r="H4" s="19">
        <f>(C2/C4)</f>
        <v>35.44827586</v>
      </c>
      <c r="I4" s="21"/>
      <c r="J4" s="20">
        <f>IFERROR(J2/I2,0)</f>
        <v>1</v>
      </c>
      <c r="K4" s="21"/>
      <c r="L4" s="20">
        <f>IFERROR(L2/K2,0)</f>
        <v>0</v>
      </c>
      <c r="M4" s="22">
        <f>IFERROR(M2/G2,0)</f>
        <v>2</v>
      </c>
      <c r="N4" s="21"/>
      <c r="O4" s="20">
        <f>IFERROR(O2/N2,0)</f>
        <v>0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1028</v>
      </c>
      <c r="D5" s="26"/>
      <c r="E5" s="27">
        <f>SUMIFS(T:T,A:A,B5,D:D,"Y")</f>
        <v>1028</v>
      </c>
      <c r="F5" s="8">
        <f>SUMIF(A:A,B5,G:G)</f>
        <v>2</v>
      </c>
      <c r="G5" s="10">
        <f>SUMIF(A:A,B5,H:H)</f>
        <v>2</v>
      </c>
      <c r="H5" s="10">
        <f>SUMIF(A:A,B5,I:I)</f>
        <v>1</v>
      </c>
      <c r="I5" s="10">
        <f>SUMIF(A:A,B5,P:P)</f>
        <v>1</v>
      </c>
      <c r="J5" s="10">
        <f>SUMIF(A:A,B5,Q:Q)</f>
        <v>1</v>
      </c>
      <c r="K5" s="10">
        <f>SUMIF(A:A,B5,R:R)</f>
        <v>0</v>
      </c>
      <c r="L5" s="10">
        <f>SUMIF(A:A,B5,S:S)</f>
        <v>0</v>
      </c>
      <c r="M5" s="10">
        <f>SUMIF(A:A,B5,M:M)</f>
        <v>4</v>
      </c>
      <c r="N5" s="10">
        <f>SUMIF(A:A,B5,N:N)</f>
        <v>1</v>
      </c>
      <c r="O5" s="10">
        <f>SUMIF(A:A,B5,O:O)</f>
        <v>0</v>
      </c>
      <c r="P5" s="10">
        <f>SUMIF(A:A,B5,J:J)</f>
        <v>2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1028</v>
      </c>
      <c r="F7" s="20">
        <f>IFERROR((G5+R5)/F5,0)</f>
        <v>1</v>
      </c>
      <c r="G7" s="20">
        <f>IFERROR(H5/G5,0)</f>
        <v>0.5</v>
      </c>
      <c r="H7" s="19">
        <f>(C5/C7)</f>
        <v>35.44827586</v>
      </c>
      <c r="I7" s="21"/>
      <c r="J7" s="20">
        <f>IFERROR(J5/I5,0)</f>
        <v>1</v>
      </c>
      <c r="K7" s="21"/>
      <c r="L7" s="20">
        <f>IFERROR(L5/K5,0)</f>
        <v>0</v>
      </c>
      <c r="M7" s="22">
        <f>IFERROR(M5/SUM(R5+G5,0),"")</f>
        <v>2</v>
      </c>
      <c r="N7" s="21"/>
      <c r="O7" s="20">
        <f>IFERROR(O5/N5,0)</f>
        <v>0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1028</v>
      </c>
      <c r="D8" s="36"/>
      <c r="E8" s="37">
        <f>SUMIFS(T:T,B:B,B8,D:D,"Y")</f>
        <v>1028</v>
      </c>
      <c r="F8" s="38">
        <f>SUMIF(B16:B1129,B8,G16:G1129)</f>
        <v>2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1</v>
      </c>
      <c r="J8" s="39">
        <f>SUMIF(B16:B1129,B8,Q16:Q1129)</f>
        <v>1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4</v>
      </c>
      <c r="N8" s="39">
        <f>SUMIF(B16:B1129,B8,N16:N1129)</f>
        <v>1</v>
      </c>
      <c r="O8" s="38">
        <f>SUMIF(B16:B1129,B8,O16:O1129)</f>
        <v>0</v>
      </c>
      <c r="P8" s="39">
        <f>SUMIF(B16:B1129,B8,J16:J1129)</f>
        <v>2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1028</v>
      </c>
      <c r="F10" s="51">
        <f>IFERROR((G8+R8)/F8,0)</f>
        <v>1</v>
      </c>
      <c r="G10" s="51">
        <f>IFERROR(H8/G8,0)</f>
        <v>0.5</v>
      </c>
      <c r="H10" s="50">
        <f>(C8/C10)</f>
        <v>39.53846154</v>
      </c>
      <c r="I10" s="46"/>
      <c r="J10" s="51">
        <f>IFERROR(J8/I8,0)</f>
        <v>1</v>
      </c>
      <c r="K10" s="46"/>
      <c r="L10" s="51">
        <f>IFERROR(L8/K8,0)</f>
        <v>0</v>
      </c>
      <c r="M10" s="52">
        <f>IFERROR(M8/SUM(G8+R8,0),"")</f>
        <v>2</v>
      </c>
      <c r="N10" s="46"/>
      <c r="O10" s="51">
        <f>IFERROR(O8/N8,0)</f>
        <v>0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5" si="2">IFERROR(I17/H17,0)</f>
        <v>0</v>
      </c>
      <c r="V17" s="67">
        <f t="shared" ref="V17:V4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1.0</v>
      </c>
      <c r="H35" s="133">
        <v>1.0</v>
      </c>
      <c r="I35" s="133">
        <v>1.0</v>
      </c>
      <c r="J35" s="133">
        <v>1.0</v>
      </c>
      <c r="K35" s="133">
        <v>1.0</v>
      </c>
      <c r="L35" s="133">
        <v>0.0</v>
      </c>
      <c r="M35" s="133">
        <v>1.0</v>
      </c>
      <c r="N35" s="133">
        <v>0.0</v>
      </c>
      <c r="O35" s="133">
        <v>0.0</v>
      </c>
      <c r="P35" s="133">
        <v>1.0</v>
      </c>
      <c r="Q35" s="133">
        <v>1.0</v>
      </c>
      <c r="R35" s="133">
        <v>0.0</v>
      </c>
      <c r="S35" s="133">
        <v>0.0</v>
      </c>
      <c r="T35" s="133">
        <v>1028.0</v>
      </c>
      <c r="U35" s="67">
        <f t="shared" si="2"/>
        <v>1</v>
      </c>
      <c r="V35" s="67">
        <f t="shared" si="3"/>
        <v>1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v>0.0</v>
      </c>
      <c r="H36" s="66">
        <v>0.0</v>
      </c>
      <c r="I36" s="66">
        <v>0.0</v>
      </c>
      <c r="J36" s="66">
        <v>0.0</v>
      </c>
      <c r="K36" s="66">
        <v>0.0</v>
      </c>
      <c r="L36" s="66">
        <v>0.0</v>
      </c>
      <c r="M36" s="66">
        <v>0.0</v>
      </c>
      <c r="N36" s="66">
        <v>0.0</v>
      </c>
      <c r="O36" s="66">
        <v>0.0</v>
      </c>
      <c r="P36" s="66">
        <v>0.0</v>
      </c>
      <c r="Q36" s="66">
        <v>0.0</v>
      </c>
      <c r="R36" s="66">
        <v>0.0</v>
      </c>
      <c r="S36" s="66">
        <v>0.0</v>
      </c>
      <c r="T36" s="66">
        <v>0.0</v>
      </c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v>0.0</v>
      </c>
      <c r="H37" s="66">
        <v>0.0</v>
      </c>
      <c r="I37" s="66">
        <v>0.0</v>
      </c>
      <c r="J37" s="66">
        <v>0.0</v>
      </c>
      <c r="K37" s="66">
        <v>0.0</v>
      </c>
      <c r="L37" s="66">
        <v>0.0</v>
      </c>
      <c r="M37" s="66">
        <v>0.0</v>
      </c>
      <c r="N37" s="66">
        <v>0.0</v>
      </c>
      <c r="O37" s="66">
        <v>0.0</v>
      </c>
      <c r="P37" s="66">
        <v>0.0</v>
      </c>
      <c r="Q37" s="66">
        <v>0.0</v>
      </c>
      <c r="R37" s="66">
        <v>0.0</v>
      </c>
      <c r="S37" s="66">
        <v>0.0</v>
      </c>
      <c r="T37" s="66">
        <v>0.0</v>
      </c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2"/>
        <v>0</v>
      </c>
      <c r="V42" s="67">
        <f t="shared" si="3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66">
        <v>1.0</v>
      </c>
      <c r="H43" s="66">
        <v>1.0</v>
      </c>
      <c r="I43" s="66">
        <v>0.0</v>
      </c>
      <c r="J43" s="66">
        <v>1.0</v>
      </c>
      <c r="K43" s="66">
        <v>0.0</v>
      </c>
      <c r="L43" s="66">
        <v>0.0</v>
      </c>
      <c r="M43" s="66">
        <v>3.0</v>
      </c>
      <c r="N43" s="66">
        <v>1.0</v>
      </c>
      <c r="O43" s="66">
        <v>0.0</v>
      </c>
      <c r="P43" s="66">
        <v>0.0</v>
      </c>
      <c r="Q43" s="66">
        <v>0.0</v>
      </c>
      <c r="R43" s="66">
        <v>0.0</v>
      </c>
      <c r="S43" s="66">
        <v>0.0</v>
      </c>
      <c r="T43" s="66">
        <v>0.0</v>
      </c>
      <c r="U43" s="67">
        <f t="shared" si="2"/>
        <v>0</v>
      </c>
      <c r="V43" s="67">
        <f t="shared" si="3"/>
        <v>1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2"/>
        <v>0</v>
      </c>
      <c r="V45" s="67">
        <f t="shared" si="3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29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29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26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SUMIF(B46:B1129,B11,G46:G1129)</f>
        <v>0</v>
      </c>
      <c r="G11" s="39">
        <f>SUMIF(B46:B1129,B11,H46:H1129)</f>
        <v>0</v>
      </c>
      <c r="H11" s="38">
        <f>SUMIF(B46:B1129,B11,I46:I1129)</f>
        <v>0</v>
      </c>
      <c r="I11" s="39">
        <f>SUMIF(B46:B1129,B11,P46:P1129)</f>
        <v>0</v>
      </c>
      <c r="J11" s="39">
        <f>SUMIF(B46:B1129,B11,Q46:Q1129)</f>
        <v>0</v>
      </c>
      <c r="K11" s="39">
        <f>SUMIF(B46:B1129,B11,R46:R1129)</f>
        <v>0</v>
      </c>
      <c r="L11" s="39">
        <f>SUMIF(B46:B1129,B11,S46:S1129)</f>
        <v>0</v>
      </c>
      <c r="M11" s="39">
        <f>SUMIF(B46:B1129,B11,M46:M1129)</f>
        <v>0</v>
      </c>
      <c r="N11" s="39">
        <f>SUMIF(B46:B1129,B11,N46:N1129)</f>
        <v>0</v>
      </c>
      <c r="O11" s="38">
        <f>SUMIF(B46:B1129,B11,O46:O1129)</f>
        <v>0</v>
      </c>
      <c r="P11" s="39">
        <f>SUMIF(B46:B1129,B11,J46:J1129)</f>
        <v>0</v>
      </c>
      <c r="Q11" s="39">
        <f>SUMIF(B46:B1129,B11,K46:K1129)</f>
        <v>0</v>
      </c>
      <c r="R11" s="38">
        <f>SUMIF(B46:B1129,B11,L46:L1129)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5" si="2">IFERROR(I17/H17,0)</f>
        <v>0</v>
      </c>
      <c r="V17" s="67">
        <f t="shared" ref="V17:V4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117" t="s">
        <v>26</v>
      </c>
      <c r="B43" s="74" t="s">
        <v>27</v>
      </c>
      <c r="C43" s="116" t="s">
        <v>67</v>
      </c>
      <c r="D43" s="118"/>
      <c r="E43" s="74" t="s">
        <v>30</v>
      </c>
      <c r="F43" s="76" t="s">
        <v>79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7" t="s">
        <v>26</v>
      </c>
      <c r="B44" s="119" t="s">
        <v>28</v>
      </c>
      <c r="C44" s="120"/>
      <c r="D44" s="121" t="s">
        <v>45</v>
      </c>
      <c r="E44" s="68" t="s">
        <v>80</v>
      </c>
      <c r="F44" s="68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62" t="s">
        <v>26</v>
      </c>
      <c r="B45" s="34" t="s">
        <v>28</v>
      </c>
      <c r="C45" s="122"/>
      <c r="D45" s="123" t="s">
        <v>45</v>
      </c>
      <c r="E45" s="65" t="s">
        <v>80</v>
      </c>
      <c r="F45" s="65" t="s">
        <v>82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7">
        <f t="shared" si="2"/>
        <v>0</v>
      </c>
      <c r="V45" s="67">
        <f t="shared" si="3"/>
        <v>0</v>
      </c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4"/>
      <c r="B565" s="124"/>
      <c r="C565" s="124"/>
      <c r="D565" s="1"/>
      <c r="E565" s="124"/>
      <c r="F565" s="125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7"/>
      <c r="V565" s="127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6"/>
      <c r="B1039" s="136"/>
      <c r="C1039" s="136"/>
      <c r="D1039" s="137"/>
      <c r="E1039" s="136"/>
      <c r="F1039" s="136"/>
      <c r="G1039" s="138"/>
      <c r="H1039" s="138"/>
      <c r="I1039" s="138"/>
      <c r="J1039" s="138"/>
      <c r="K1039" s="138"/>
      <c r="L1039" s="138"/>
      <c r="M1039" s="138"/>
      <c r="N1039" s="138"/>
      <c r="O1039" s="138"/>
      <c r="P1039" s="138"/>
      <c r="Q1039" s="138"/>
      <c r="R1039" s="138"/>
      <c r="S1039" s="138"/>
      <c r="T1039" s="138"/>
      <c r="U1039" s="139"/>
      <c r="V1039" s="139"/>
    </row>
    <row r="1040" ht="12.75" customHeight="1">
      <c r="A1040" s="136"/>
      <c r="B1040" s="136"/>
      <c r="C1040" s="136"/>
      <c r="D1040" s="137"/>
      <c r="E1040" s="136"/>
      <c r="F1040" s="136"/>
      <c r="G1040" s="138"/>
      <c r="H1040" s="138"/>
      <c r="I1040" s="138"/>
      <c r="J1040" s="138"/>
      <c r="K1040" s="138"/>
      <c r="L1040" s="138"/>
      <c r="M1040" s="138"/>
      <c r="N1040" s="138"/>
      <c r="O1040" s="138"/>
      <c r="P1040" s="138"/>
      <c r="Q1040" s="138"/>
      <c r="R1040" s="138"/>
      <c r="S1040" s="138"/>
      <c r="T1040" s="138"/>
      <c r="U1040" s="139"/>
      <c r="V1040" s="139"/>
    </row>
    <row r="1041" ht="12.75" customHeight="1">
      <c r="A1041" s="136"/>
      <c r="B1041" s="136"/>
      <c r="C1041" s="136"/>
      <c r="D1041" s="137"/>
      <c r="E1041" s="136"/>
      <c r="F1041" s="136"/>
      <c r="G1041" s="138"/>
      <c r="H1041" s="138"/>
      <c r="I1041" s="138"/>
      <c r="J1041" s="138"/>
      <c r="K1041" s="138"/>
      <c r="L1041" s="138"/>
      <c r="M1041" s="138"/>
      <c r="N1041" s="138"/>
      <c r="O1041" s="138"/>
      <c r="P1041" s="138"/>
      <c r="Q1041" s="138"/>
      <c r="R1041" s="138"/>
      <c r="S1041" s="138"/>
      <c r="T1041" s="138"/>
      <c r="U1041" s="139"/>
      <c r="V1041" s="139"/>
    </row>
    <row r="1042" ht="12.75" customHeight="1">
      <c r="A1042" s="136"/>
      <c r="B1042" s="136"/>
      <c r="C1042" s="136"/>
      <c r="D1042" s="137"/>
      <c r="E1042" s="136"/>
      <c r="F1042" s="136"/>
      <c r="G1042" s="138"/>
      <c r="H1042" s="138"/>
      <c r="I1042" s="138"/>
      <c r="J1042" s="138"/>
      <c r="K1042" s="138"/>
      <c r="L1042" s="138"/>
      <c r="M1042" s="138"/>
      <c r="N1042" s="138"/>
      <c r="O1042" s="138"/>
      <c r="P1042" s="138"/>
      <c r="Q1042" s="138"/>
      <c r="R1042" s="138"/>
      <c r="S1042" s="138"/>
      <c r="T1042" s="138"/>
      <c r="U1042" s="139"/>
      <c r="V1042" s="139"/>
    </row>
    <row r="1043" ht="12.75" customHeight="1">
      <c r="A1043" s="136"/>
      <c r="B1043" s="136"/>
      <c r="C1043" s="136"/>
      <c r="D1043" s="137"/>
      <c r="E1043" s="136"/>
      <c r="F1043" s="136"/>
      <c r="G1043" s="138"/>
      <c r="H1043" s="138"/>
      <c r="I1043" s="138"/>
      <c r="J1043" s="138"/>
      <c r="K1043" s="138"/>
      <c r="L1043" s="138"/>
      <c r="M1043" s="138"/>
      <c r="N1043" s="138"/>
      <c r="O1043" s="138"/>
      <c r="P1043" s="138"/>
      <c r="Q1043" s="138"/>
      <c r="R1043" s="138"/>
      <c r="S1043" s="138"/>
      <c r="T1043" s="138"/>
      <c r="U1043" s="139"/>
      <c r="V1043" s="139"/>
    </row>
    <row r="1044" ht="12.75" customHeight="1">
      <c r="A1044" s="136"/>
      <c r="B1044" s="136"/>
      <c r="C1044" s="136"/>
      <c r="D1044" s="137"/>
      <c r="E1044" s="136"/>
      <c r="F1044" s="136"/>
      <c r="G1044" s="138"/>
      <c r="H1044" s="138"/>
      <c r="I1044" s="138"/>
      <c r="J1044" s="138"/>
      <c r="K1044" s="138"/>
      <c r="L1044" s="138"/>
      <c r="M1044" s="138"/>
      <c r="N1044" s="138"/>
      <c r="O1044" s="138"/>
      <c r="P1044" s="138"/>
      <c r="Q1044" s="138"/>
      <c r="R1044" s="138"/>
      <c r="S1044" s="138"/>
      <c r="T1044" s="138"/>
      <c r="U1044" s="139"/>
      <c r="V1044" s="139"/>
    </row>
    <row r="1045" ht="12.75" customHeight="1">
      <c r="A1045" s="136"/>
      <c r="B1045" s="136"/>
      <c r="C1045" s="136"/>
      <c r="D1045" s="137"/>
      <c r="E1045" s="136"/>
      <c r="F1045" s="136"/>
      <c r="G1045" s="138"/>
      <c r="H1045" s="138"/>
      <c r="I1045" s="138"/>
      <c r="J1045" s="138"/>
      <c r="K1045" s="138"/>
      <c r="L1045" s="138"/>
      <c r="M1045" s="138"/>
      <c r="N1045" s="138"/>
      <c r="O1045" s="138"/>
      <c r="P1045" s="138"/>
      <c r="Q1045" s="138"/>
      <c r="R1045" s="138"/>
      <c r="S1045" s="138"/>
      <c r="T1045" s="138"/>
      <c r="U1045" s="139"/>
      <c r="V1045" s="139"/>
    </row>
    <row r="1046" ht="12.75" customHeight="1">
      <c r="A1046" s="136"/>
      <c r="B1046" s="136"/>
      <c r="C1046" s="136"/>
      <c r="D1046" s="137"/>
      <c r="E1046" s="136"/>
      <c r="F1046" s="136"/>
      <c r="G1046" s="138"/>
      <c r="H1046" s="138"/>
      <c r="I1046" s="138"/>
      <c r="J1046" s="138"/>
      <c r="K1046" s="138"/>
      <c r="L1046" s="138"/>
      <c r="M1046" s="138"/>
      <c r="N1046" s="138"/>
      <c r="O1046" s="138"/>
      <c r="P1046" s="138"/>
      <c r="Q1046" s="138"/>
      <c r="R1046" s="138"/>
      <c r="S1046" s="138"/>
      <c r="T1046" s="138"/>
      <c r="U1046" s="139"/>
      <c r="V1046" s="139"/>
    </row>
    <row r="1047" ht="12.75" customHeight="1">
      <c r="A1047" s="136"/>
      <c r="B1047" s="136"/>
      <c r="C1047" s="136"/>
      <c r="D1047" s="137"/>
      <c r="E1047" s="136"/>
      <c r="F1047" s="136"/>
      <c r="G1047" s="138"/>
      <c r="H1047" s="138"/>
      <c r="I1047" s="138"/>
      <c r="J1047" s="138"/>
      <c r="K1047" s="138"/>
      <c r="L1047" s="138"/>
      <c r="M1047" s="138"/>
      <c r="N1047" s="138"/>
      <c r="O1047" s="138"/>
      <c r="P1047" s="138"/>
      <c r="Q1047" s="138"/>
      <c r="R1047" s="138"/>
      <c r="S1047" s="138"/>
      <c r="T1047" s="138"/>
      <c r="U1047" s="139"/>
      <c r="V1047" s="139"/>
    </row>
    <row r="1048" ht="12.75" customHeight="1">
      <c r="A1048" s="136"/>
      <c r="B1048" s="136"/>
      <c r="C1048" s="136"/>
      <c r="D1048" s="137"/>
      <c r="E1048" s="136"/>
      <c r="F1048" s="136"/>
      <c r="G1048" s="138"/>
      <c r="H1048" s="138"/>
      <c r="I1048" s="138"/>
      <c r="J1048" s="138"/>
      <c r="K1048" s="138"/>
      <c r="L1048" s="138"/>
      <c r="M1048" s="138"/>
      <c r="N1048" s="138"/>
      <c r="O1048" s="138"/>
      <c r="P1048" s="138"/>
      <c r="Q1048" s="138"/>
      <c r="R1048" s="138"/>
      <c r="S1048" s="138"/>
      <c r="T1048" s="138"/>
      <c r="U1048" s="139"/>
      <c r="V1048" s="139"/>
    </row>
    <row r="1049" ht="12.75" customHeight="1">
      <c r="A1049" s="136"/>
      <c r="B1049" s="136"/>
      <c r="C1049" s="136"/>
      <c r="D1049" s="137"/>
      <c r="E1049" s="136"/>
      <c r="F1049" s="136"/>
      <c r="G1049" s="138"/>
      <c r="H1049" s="138"/>
      <c r="I1049" s="138"/>
      <c r="J1049" s="138"/>
      <c r="K1049" s="138"/>
      <c r="L1049" s="138"/>
      <c r="M1049" s="138"/>
      <c r="N1049" s="138"/>
      <c r="O1049" s="138"/>
      <c r="P1049" s="138"/>
      <c r="Q1049" s="138"/>
      <c r="R1049" s="138"/>
      <c r="S1049" s="138"/>
      <c r="T1049" s="138"/>
      <c r="U1049" s="139"/>
      <c r="V1049" s="139"/>
    </row>
    <row r="1050" ht="12.75" customHeight="1">
      <c r="A1050" s="136"/>
      <c r="B1050" s="136"/>
      <c r="C1050" s="136"/>
      <c r="D1050" s="137"/>
      <c r="E1050" s="136"/>
      <c r="F1050" s="136"/>
      <c r="G1050" s="138"/>
      <c r="H1050" s="138"/>
      <c r="I1050" s="138"/>
      <c r="J1050" s="138"/>
      <c r="K1050" s="138"/>
      <c r="L1050" s="138"/>
      <c r="M1050" s="138"/>
      <c r="N1050" s="138"/>
      <c r="O1050" s="138"/>
      <c r="P1050" s="138"/>
      <c r="Q1050" s="138"/>
      <c r="R1050" s="138"/>
      <c r="S1050" s="138"/>
      <c r="T1050" s="138"/>
      <c r="U1050" s="139"/>
      <c r="V1050" s="139"/>
    </row>
    <row r="1051" ht="12.75" customHeight="1">
      <c r="A1051" s="136"/>
      <c r="B1051" s="136"/>
      <c r="C1051" s="136"/>
      <c r="D1051" s="137"/>
      <c r="E1051" s="136"/>
      <c r="F1051" s="136"/>
      <c r="G1051" s="138"/>
      <c r="H1051" s="138"/>
      <c r="I1051" s="138"/>
      <c r="J1051" s="138"/>
      <c r="K1051" s="138"/>
      <c r="L1051" s="138"/>
      <c r="M1051" s="138"/>
      <c r="N1051" s="138"/>
      <c r="O1051" s="138"/>
      <c r="P1051" s="138"/>
      <c r="Q1051" s="138"/>
      <c r="R1051" s="138"/>
      <c r="S1051" s="138"/>
      <c r="T1051" s="138"/>
      <c r="U1051" s="139"/>
      <c r="V1051" s="139"/>
    </row>
    <row r="1052" ht="12.75" customHeight="1">
      <c r="A1052" s="136"/>
      <c r="B1052" s="136"/>
      <c r="C1052" s="136"/>
      <c r="D1052" s="137"/>
      <c r="E1052" s="136"/>
      <c r="F1052" s="136"/>
      <c r="G1052" s="138"/>
      <c r="H1052" s="138"/>
      <c r="I1052" s="138"/>
      <c r="J1052" s="138"/>
      <c r="K1052" s="138"/>
      <c r="L1052" s="138"/>
      <c r="M1052" s="138"/>
      <c r="N1052" s="138"/>
      <c r="O1052" s="138"/>
      <c r="P1052" s="138"/>
      <c r="Q1052" s="138"/>
      <c r="R1052" s="138"/>
      <c r="S1052" s="138"/>
      <c r="T1052" s="138"/>
      <c r="U1052" s="139"/>
      <c r="V1052" s="139"/>
    </row>
    <row r="1053" ht="12.75" customHeight="1">
      <c r="A1053" s="136"/>
      <c r="B1053" s="136"/>
      <c r="C1053" s="136"/>
      <c r="D1053" s="137"/>
      <c r="E1053" s="136"/>
      <c r="F1053" s="136"/>
      <c r="G1053" s="138"/>
      <c r="H1053" s="138"/>
      <c r="I1053" s="138"/>
      <c r="J1053" s="138"/>
      <c r="K1053" s="138"/>
      <c r="L1053" s="138"/>
      <c r="M1053" s="138"/>
      <c r="N1053" s="138"/>
      <c r="O1053" s="138"/>
      <c r="P1053" s="138"/>
      <c r="Q1053" s="138"/>
      <c r="R1053" s="138"/>
      <c r="S1053" s="138"/>
      <c r="T1053" s="138"/>
      <c r="U1053" s="139"/>
      <c r="V1053" s="139"/>
    </row>
    <row r="1054" ht="12.75" customHeight="1">
      <c r="A1054" s="136"/>
      <c r="B1054" s="136"/>
      <c r="C1054" s="136"/>
      <c r="D1054" s="137"/>
      <c r="E1054" s="136"/>
      <c r="F1054" s="136"/>
      <c r="G1054" s="138"/>
      <c r="H1054" s="138"/>
      <c r="I1054" s="138"/>
      <c r="J1054" s="138"/>
      <c r="K1054" s="138"/>
      <c r="L1054" s="138"/>
      <c r="M1054" s="138"/>
      <c r="N1054" s="138"/>
      <c r="O1054" s="138"/>
      <c r="P1054" s="138"/>
      <c r="Q1054" s="138"/>
      <c r="R1054" s="138"/>
      <c r="S1054" s="138"/>
      <c r="T1054" s="138"/>
      <c r="U1054" s="139"/>
      <c r="V1054" s="139"/>
    </row>
    <row r="1055" ht="12.75" customHeight="1">
      <c r="A1055" s="136"/>
      <c r="B1055" s="136"/>
      <c r="C1055" s="136"/>
      <c r="D1055" s="137"/>
      <c r="E1055" s="136"/>
      <c r="F1055" s="136"/>
      <c r="G1055" s="138"/>
      <c r="H1055" s="138"/>
      <c r="I1055" s="138"/>
      <c r="J1055" s="138"/>
      <c r="K1055" s="138"/>
      <c r="L1055" s="138"/>
      <c r="M1055" s="138"/>
      <c r="N1055" s="138"/>
      <c r="O1055" s="138"/>
      <c r="P1055" s="138"/>
      <c r="Q1055" s="138"/>
      <c r="R1055" s="138"/>
      <c r="S1055" s="138"/>
      <c r="T1055" s="138"/>
      <c r="U1055" s="139"/>
      <c r="V1055" s="139"/>
    </row>
    <row r="1056" ht="12.75" customHeight="1">
      <c r="A1056" s="136"/>
      <c r="B1056" s="136"/>
      <c r="C1056" s="136"/>
      <c r="D1056" s="137"/>
      <c r="E1056" s="136"/>
      <c r="F1056" s="136"/>
      <c r="G1056" s="138"/>
      <c r="H1056" s="138"/>
      <c r="I1056" s="138"/>
      <c r="J1056" s="138"/>
      <c r="K1056" s="138"/>
      <c r="L1056" s="138"/>
      <c r="M1056" s="138"/>
      <c r="N1056" s="138"/>
      <c r="O1056" s="138"/>
      <c r="P1056" s="138"/>
      <c r="Q1056" s="138"/>
      <c r="R1056" s="138"/>
      <c r="S1056" s="138"/>
      <c r="T1056" s="138"/>
      <c r="U1056" s="139"/>
      <c r="V1056" s="139"/>
    </row>
    <row r="1057" ht="12.75" customHeight="1">
      <c r="A1057" s="136"/>
      <c r="B1057" s="136"/>
      <c r="C1057" s="136"/>
      <c r="D1057" s="137"/>
      <c r="E1057" s="136"/>
      <c r="F1057" s="136"/>
      <c r="G1057" s="138"/>
      <c r="H1057" s="138"/>
      <c r="I1057" s="138"/>
      <c r="J1057" s="138"/>
      <c r="K1057" s="138"/>
      <c r="L1057" s="138"/>
      <c r="M1057" s="138"/>
      <c r="N1057" s="138"/>
      <c r="O1057" s="138"/>
      <c r="P1057" s="138"/>
      <c r="Q1057" s="138"/>
      <c r="R1057" s="138"/>
      <c r="S1057" s="138"/>
      <c r="T1057" s="138"/>
      <c r="U1057" s="139"/>
      <c r="V1057" s="139"/>
    </row>
    <row r="1058" ht="12.75" customHeight="1">
      <c r="A1058" s="136"/>
      <c r="B1058" s="136"/>
      <c r="C1058" s="136"/>
      <c r="D1058" s="137"/>
      <c r="E1058" s="136"/>
      <c r="F1058" s="136"/>
      <c r="G1058" s="138"/>
      <c r="H1058" s="138"/>
      <c r="I1058" s="138"/>
      <c r="J1058" s="138"/>
      <c r="K1058" s="138"/>
      <c r="L1058" s="138"/>
      <c r="M1058" s="138"/>
      <c r="N1058" s="138"/>
      <c r="O1058" s="138"/>
      <c r="P1058" s="138"/>
      <c r="Q1058" s="138"/>
      <c r="R1058" s="138"/>
      <c r="S1058" s="138"/>
      <c r="T1058" s="138"/>
      <c r="U1058" s="139"/>
      <c r="V1058" s="139"/>
    </row>
    <row r="1059" ht="12.75" customHeight="1">
      <c r="A1059" s="136"/>
      <c r="B1059" s="136"/>
      <c r="C1059" s="136"/>
      <c r="D1059" s="137"/>
      <c r="E1059" s="136"/>
      <c r="F1059" s="136"/>
      <c r="G1059" s="138"/>
      <c r="H1059" s="138"/>
      <c r="I1059" s="138"/>
      <c r="J1059" s="138"/>
      <c r="K1059" s="138"/>
      <c r="L1059" s="138"/>
      <c r="M1059" s="138"/>
      <c r="N1059" s="138"/>
      <c r="O1059" s="138"/>
      <c r="P1059" s="138"/>
      <c r="Q1059" s="138"/>
      <c r="R1059" s="138"/>
      <c r="S1059" s="138"/>
      <c r="T1059" s="138"/>
      <c r="U1059" s="139"/>
      <c r="V1059" s="139"/>
    </row>
    <row r="1060" ht="12.75" customHeight="1">
      <c r="A1060" s="136"/>
      <c r="B1060" s="136"/>
      <c r="C1060" s="136"/>
      <c r="D1060" s="137"/>
      <c r="E1060" s="136"/>
      <c r="F1060" s="136"/>
      <c r="G1060" s="138"/>
      <c r="H1060" s="138"/>
      <c r="I1060" s="138"/>
      <c r="J1060" s="138"/>
      <c r="K1060" s="138"/>
      <c r="L1060" s="138"/>
      <c r="M1060" s="138"/>
      <c r="N1060" s="138"/>
      <c r="O1060" s="138"/>
      <c r="P1060" s="138"/>
      <c r="Q1060" s="138"/>
      <c r="R1060" s="138"/>
      <c r="S1060" s="138"/>
      <c r="T1060" s="138"/>
      <c r="U1060" s="139"/>
      <c r="V1060" s="139"/>
    </row>
    <row r="1061" ht="12.75" customHeight="1">
      <c r="A1061" s="136"/>
      <c r="B1061" s="136"/>
      <c r="C1061" s="136"/>
      <c r="D1061" s="137"/>
      <c r="E1061" s="136"/>
      <c r="F1061" s="136"/>
      <c r="G1061" s="138"/>
      <c r="H1061" s="138"/>
      <c r="I1061" s="138"/>
      <c r="J1061" s="138"/>
      <c r="K1061" s="138"/>
      <c r="L1061" s="138"/>
      <c r="M1061" s="138"/>
      <c r="N1061" s="138"/>
      <c r="O1061" s="138"/>
      <c r="P1061" s="138"/>
      <c r="Q1061" s="138"/>
      <c r="R1061" s="138"/>
      <c r="S1061" s="138"/>
      <c r="T1061" s="138"/>
      <c r="U1061" s="139"/>
      <c r="V1061" s="139"/>
    </row>
    <row r="1062" ht="12.75" customHeight="1">
      <c r="A1062" s="136"/>
      <c r="B1062" s="136"/>
      <c r="C1062" s="136"/>
      <c r="D1062" s="137"/>
      <c r="E1062" s="136"/>
      <c r="F1062" s="136"/>
      <c r="G1062" s="138"/>
      <c r="H1062" s="138"/>
      <c r="I1062" s="138"/>
      <c r="J1062" s="138"/>
      <c r="K1062" s="138"/>
      <c r="L1062" s="138"/>
      <c r="M1062" s="138"/>
      <c r="N1062" s="138"/>
      <c r="O1062" s="138"/>
      <c r="P1062" s="138"/>
      <c r="Q1062" s="138"/>
      <c r="R1062" s="138"/>
      <c r="S1062" s="138"/>
      <c r="T1062" s="138"/>
      <c r="U1062" s="139"/>
      <c r="V1062" s="139"/>
    </row>
    <row r="1063" ht="12.75" customHeight="1">
      <c r="A1063" s="136"/>
      <c r="B1063" s="136"/>
      <c r="C1063" s="136"/>
      <c r="D1063" s="137"/>
      <c r="E1063" s="136"/>
      <c r="F1063" s="136"/>
      <c r="G1063" s="138"/>
      <c r="H1063" s="138"/>
      <c r="I1063" s="138"/>
      <c r="J1063" s="138"/>
      <c r="K1063" s="138"/>
      <c r="L1063" s="138"/>
      <c r="M1063" s="138"/>
      <c r="N1063" s="138"/>
      <c r="O1063" s="138"/>
      <c r="P1063" s="138"/>
      <c r="Q1063" s="138"/>
      <c r="R1063" s="138"/>
      <c r="S1063" s="138"/>
      <c r="T1063" s="138"/>
      <c r="U1063" s="139"/>
      <c r="V1063" s="139"/>
    </row>
    <row r="1064" ht="12.75" customHeight="1">
      <c r="A1064" s="136"/>
      <c r="B1064" s="136"/>
      <c r="C1064" s="136"/>
      <c r="D1064" s="137"/>
      <c r="E1064" s="136"/>
      <c r="F1064" s="136"/>
      <c r="G1064" s="138"/>
      <c r="H1064" s="138"/>
      <c r="I1064" s="138"/>
      <c r="J1064" s="138"/>
      <c r="K1064" s="138"/>
      <c r="L1064" s="138"/>
      <c r="M1064" s="138"/>
      <c r="N1064" s="138"/>
      <c r="O1064" s="138"/>
      <c r="P1064" s="138"/>
      <c r="Q1064" s="138"/>
      <c r="R1064" s="138"/>
      <c r="S1064" s="138"/>
      <c r="T1064" s="138"/>
      <c r="U1064" s="139"/>
      <c r="V1064" s="139"/>
    </row>
    <row r="1065" ht="12.75" customHeight="1">
      <c r="A1065" s="136"/>
      <c r="B1065" s="136"/>
      <c r="C1065" s="136"/>
      <c r="D1065" s="137"/>
      <c r="E1065" s="136"/>
      <c r="F1065" s="136"/>
      <c r="G1065" s="138"/>
      <c r="H1065" s="138"/>
      <c r="I1065" s="138"/>
      <c r="J1065" s="138"/>
      <c r="K1065" s="138"/>
      <c r="L1065" s="138"/>
      <c r="M1065" s="138"/>
      <c r="N1065" s="138"/>
      <c r="O1065" s="138"/>
      <c r="P1065" s="138"/>
      <c r="Q1065" s="138"/>
      <c r="R1065" s="138"/>
      <c r="S1065" s="138"/>
      <c r="T1065" s="138"/>
      <c r="U1065" s="139"/>
      <c r="V1065" s="139"/>
    </row>
    <row r="1066" ht="12.75" customHeight="1">
      <c r="A1066" s="136"/>
      <c r="B1066" s="136"/>
      <c r="C1066" s="136"/>
      <c r="D1066" s="137"/>
      <c r="E1066" s="136"/>
      <c r="F1066" s="136"/>
      <c r="G1066" s="138"/>
      <c r="H1066" s="138"/>
      <c r="I1066" s="138"/>
      <c r="J1066" s="138"/>
      <c r="K1066" s="138"/>
      <c r="L1066" s="138"/>
      <c r="M1066" s="138"/>
      <c r="N1066" s="138"/>
      <c r="O1066" s="138"/>
      <c r="P1066" s="138"/>
      <c r="Q1066" s="138"/>
      <c r="R1066" s="138"/>
      <c r="S1066" s="138"/>
      <c r="T1066" s="138"/>
      <c r="U1066" s="139"/>
      <c r="V1066" s="139"/>
    </row>
    <row r="1067" ht="12.75" customHeight="1">
      <c r="A1067" s="136"/>
      <c r="B1067" s="136"/>
      <c r="C1067" s="136"/>
      <c r="D1067" s="137"/>
      <c r="E1067" s="136"/>
      <c r="F1067" s="136"/>
      <c r="G1067" s="138"/>
      <c r="H1067" s="138"/>
      <c r="I1067" s="138"/>
      <c r="J1067" s="138"/>
      <c r="K1067" s="138"/>
      <c r="L1067" s="138"/>
      <c r="M1067" s="138"/>
      <c r="N1067" s="138"/>
      <c r="O1067" s="138"/>
      <c r="P1067" s="138"/>
      <c r="Q1067" s="138"/>
      <c r="R1067" s="138"/>
      <c r="S1067" s="138"/>
      <c r="T1067" s="138"/>
      <c r="U1067" s="139"/>
      <c r="V1067" s="139"/>
    </row>
    <row r="1068" ht="12.75" customHeight="1">
      <c r="A1068" s="136"/>
      <c r="B1068" s="136"/>
      <c r="C1068" s="136"/>
      <c r="D1068" s="137"/>
      <c r="E1068" s="136"/>
      <c r="F1068" s="136"/>
      <c r="G1068" s="138"/>
      <c r="H1068" s="138"/>
      <c r="I1068" s="138"/>
      <c r="J1068" s="138"/>
      <c r="K1068" s="138"/>
      <c r="L1068" s="138"/>
      <c r="M1068" s="138"/>
      <c r="N1068" s="138"/>
      <c r="O1068" s="138"/>
      <c r="P1068" s="138"/>
      <c r="Q1068" s="138"/>
      <c r="R1068" s="138"/>
      <c r="S1068" s="138"/>
      <c r="T1068" s="138"/>
      <c r="U1068" s="139"/>
      <c r="V1068" s="139"/>
    </row>
    <row r="1069" ht="12.75" customHeight="1">
      <c r="A1069" s="136"/>
      <c r="B1069" s="136"/>
      <c r="C1069" s="136"/>
      <c r="D1069" s="137"/>
      <c r="E1069" s="136"/>
      <c r="F1069" s="136"/>
      <c r="G1069" s="138"/>
      <c r="H1069" s="138"/>
      <c r="I1069" s="138"/>
      <c r="J1069" s="138"/>
      <c r="K1069" s="138"/>
      <c r="L1069" s="138"/>
      <c r="M1069" s="138"/>
      <c r="N1069" s="138"/>
      <c r="O1069" s="138"/>
      <c r="P1069" s="138"/>
      <c r="Q1069" s="138"/>
      <c r="R1069" s="138"/>
      <c r="S1069" s="138"/>
      <c r="T1069" s="138"/>
      <c r="U1069" s="139"/>
      <c r="V1069" s="139"/>
    </row>
    <row r="1070" ht="12.75" customHeight="1">
      <c r="A1070" s="136"/>
      <c r="B1070" s="136"/>
      <c r="C1070" s="136"/>
      <c r="D1070" s="137"/>
      <c r="E1070" s="136"/>
      <c r="F1070" s="136"/>
      <c r="G1070" s="138"/>
      <c r="H1070" s="138"/>
      <c r="I1070" s="138"/>
      <c r="J1070" s="138"/>
      <c r="K1070" s="138"/>
      <c r="L1070" s="138"/>
      <c r="M1070" s="138"/>
      <c r="N1070" s="138"/>
      <c r="O1070" s="138"/>
      <c r="P1070" s="138"/>
      <c r="Q1070" s="138"/>
      <c r="R1070" s="138"/>
      <c r="S1070" s="138"/>
      <c r="T1070" s="138"/>
      <c r="U1070" s="139"/>
      <c r="V1070" s="139"/>
    </row>
    <row r="1071" ht="12.75" customHeight="1">
      <c r="A1071" s="136"/>
      <c r="B1071" s="136"/>
      <c r="C1071" s="136"/>
      <c r="D1071" s="137"/>
      <c r="E1071" s="136"/>
      <c r="F1071" s="136"/>
      <c r="G1071" s="138"/>
      <c r="H1071" s="138"/>
      <c r="I1071" s="138"/>
      <c r="J1071" s="138"/>
      <c r="K1071" s="138"/>
      <c r="L1071" s="138"/>
      <c r="M1071" s="138"/>
      <c r="N1071" s="138"/>
      <c r="O1071" s="138"/>
      <c r="P1071" s="138"/>
      <c r="Q1071" s="138"/>
      <c r="R1071" s="138"/>
      <c r="S1071" s="138"/>
      <c r="T1071" s="138"/>
      <c r="U1071" s="139"/>
      <c r="V1071" s="139"/>
    </row>
    <row r="1072" ht="12.75" customHeight="1">
      <c r="A1072" s="136"/>
      <c r="B1072" s="136"/>
      <c r="C1072" s="136"/>
      <c r="D1072" s="137"/>
      <c r="E1072" s="136"/>
      <c r="F1072" s="136"/>
      <c r="G1072" s="138"/>
      <c r="H1072" s="138"/>
      <c r="I1072" s="138"/>
      <c r="J1072" s="138"/>
      <c r="K1072" s="138"/>
      <c r="L1072" s="138"/>
      <c r="M1072" s="138"/>
      <c r="N1072" s="138"/>
      <c r="O1072" s="138"/>
      <c r="P1072" s="138"/>
      <c r="Q1072" s="138"/>
      <c r="R1072" s="138"/>
      <c r="S1072" s="138"/>
      <c r="T1072" s="138"/>
      <c r="U1072" s="139"/>
      <c r="V1072" s="139"/>
    </row>
    <row r="1073" ht="12.75" customHeight="1">
      <c r="A1073" s="136"/>
      <c r="B1073" s="136"/>
      <c r="C1073" s="136"/>
      <c r="D1073" s="137"/>
      <c r="E1073" s="136"/>
      <c r="F1073" s="136"/>
      <c r="G1073" s="138"/>
      <c r="H1073" s="138"/>
      <c r="I1073" s="138"/>
      <c r="J1073" s="138"/>
      <c r="K1073" s="138"/>
      <c r="L1073" s="138"/>
      <c r="M1073" s="138"/>
      <c r="N1073" s="138"/>
      <c r="O1073" s="138"/>
      <c r="P1073" s="138"/>
      <c r="Q1073" s="138"/>
      <c r="R1073" s="138"/>
      <c r="S1073" s="138"/>
      <c r="T1073" s="138"/>
      <c r="U1073" s="139"/>
      <c r="V1073" s="139"/>
    </row>
    <row r="1074" ht="12.75" customHeight="1">
      <c r="A1074" s="136"/>
      <c r="B1074" s="136"/>
      <c r="C1074" s="136"/>
      <c r="D1074" s="137"/>
      <c r="E1074" s="136"/>
      <c r="F1074" s="136"/>
      <c r="G1074" s="138"/>
      <c r="H1074" s="138"/>
      <c r="I1074" s="138"/>
      <c r="J1074" s="138"/>
      <c r="K1074" s="138"/>
      <c r="L1074" s="138"/>
      <c r="M1074" s="138"/>
      <c r="N1074" s="138"/>
      <c r="O1074" s="138"/>
      <c r="P1074" s="138"/>
      <c r="Q1074" s="138"/>
      <c r="R1074" s="138"/>
      <c r="S1074" s="138"/>
      <c r="T1074" s="138"/>
      <c r="U1074" s="139"/>
      <c r="V1074" s="139"/>
    </row>
    <row r="1075" ht="12.75" customHeight="1">
      <c r="A1075" s="136"/>
      <c r="B1075" s="136"/>
      <c r="C1075" s="136"/>
      <c r="D1075" s="137"/>
      <c r="E1075" s="136"/>
      <c r="F1075" s="136"/>
      <c r="G1075" s="138"/>
      <c r="H1075" s="138"/>
      <c r="I1075" s="138"/>
      <c r="J1075" s="138"/>
      <c r="K1075" s="138"/>
      <c r="L1075" s="138"/>
      <c r="M1075" s="138"/>
      <c r="N1075" s="138"/>
      <c r="O1075" s="138"/>
      <c r="P1075" s="138"/>
      <c r="Q1075" s="138"/>
      <c r="R1075" s="138"/>
      <c r="S1075" s="138"/>
      <c r="T1075" s="138"/>
      <c r="U1075" s="139"/>
      <c r="V1075" s="139"/>
    </row>
    <row r="1076" ht="12.75" customHeight="1">
      <c r="A1076" s="136"/>
      <c r="B1076" s="136"/>
      <c r="C1076" s="136"/>
      <c r="D1076" s="137"/>
      <c r="E1076" s="136"/>
      <c r="F1076" s="136"/>
      <c r="G1076" s="138"/>
      <c r="H1076" s="138"/>
      <c r="I1076" s="138"/>
      <c r="J1076" s="138"/>
      <c r="K1076" s="138"/>
      <c r="L1076" s="138"/>
      <c r="M1076" s="138"/>
      <c r="N1076" s="138"/>
      <c r="O1076" s="138"/>
      <c r="P1076" s="138"/>
      <c r="Q1076" s="138"/>
      <c r="R1076" s="138"/>
      <c r="S1076" s="138"/>
      <c r="T1076" s="138"/>
      <c r="U1076" s="139"/>
      <c r="V1076" s="139"/>
    </row>
    <row r="1077" ht="12.75" customHeight="1">
      <c r="A1077" s="136"/>
      <c r="B1077" s="136"/>
      <c r="C1077" s="136"/>
      <c r="D1077" s="137"/>
      <c r="E1077" s="136"/>
      <c r="F1077" s="136"/>
      <c r="G1077" s="138"/>
      <c r="H1077" s="138"/>
      <c r="I1077" s="138"/>
      <c r="J1077" s="138"/>
      <c r="K1077" s="138"/>
      <c r="L1077" s="138"/>
      <c r="M1077" s="138"/>
      <c r="N1077" s="138"/>
      <c r="O1077" s="138"/>
      <c r="P1077" s="138"/>
      <c r="Q1077" s="138"/>
      <c r="R1077" s="138"/>
      <c r="S1077" s="138"/>
      <c r="T1077" s="138"/>
      <c r="U1077" s="139"/>
      <c r="V1077" s="139"/>
    </row>
    <row r="1078" ht="12.75" customHeight="1">
      <c r="A1078" s="136"/>
      <c r="B1078" s="136"/>
      <c r="C1078" s="136"/>
      <c r="D1078" s="137"/>
      <c r="E1078" s="136"/>
      <c r="F1078" s="136"/>
      <c r="G1078" s="138"/>
      <c r="H1078" s="138"/>
      <c r="I1078" s="138"/>
      <c r="J1078" s="138"/>
      <c r="K1078" s="138"/>
      <c r="L1078" s="138"/>
      <c r="M1078" s="138"/>
      <c r="N1078" s="138"/>
      <c r="O1078" s="138"/>
      <c r="P1078" s="138"/>
      <c r="Q1078" s="138"/>
      <c r="R1078" s="138"/>
      <c r="S1078" s="138"/>
      <c r="T1078" s="138"/>
      <c r="U1078" s="139"/>
      <c r="V1078" s="139"/>
    </row>
    <row r="1079" ht="12.75" customHeight="1">
      <c r="A1079" s="136"/>
      <c r="B1079" s="136"/>
      <c r="C1079" s="136"/>
      <c r="D1079" s="137"/>
      <c r="E1079" s="136"/>
      <c r="F1079" s="136"/>
      <c r="G1079" s="138"/>
      <c r="H1079" s="138"/>
      <c r="I1079" s="138"/>
      <c r="J1079" s="138"/>
      <c r="K1079" s="138"/>
      <c r="L1079" s="138"/>
      <c r="M1079" s="138"/>
      <c r="N1079" s="138"/>
      <c r="O1079" s="138"/>
      <c r="P1079" s="138"/>
      <c r="Q1079" s="138"/>
      <c r="R1079" s="138"/>
      <c r="S1079" s="138"/>
      <c r="T1079" s="138"/>
      <c r="U1079" s="139"/>
      <c r="V1079" s="139"/>
    </row>
    <row r="1080" ht="12.75" customHeight="1">
      <c r="A1080" s="136"/>
      <c r="B1080" s="136"/>
      <c r="C1080" s="136"/>
      <c r="D1080" s="137"/>
      <c r="E1080" s="136"/>
      <c r="F1080" s="136"/>
      <c r="G1080" s="138"/>
      <c r="H1080" s="138"/>
      <c r="I1080" s="138"/>
      <c r="J1080" s="138"/>
      <c r="K1080" s="138"/>
      <c r="L1080" s="138"/>
      <c r="M1080" s="138"/>
      <c r="N1080" s="138"/>
      <c r="O1080" s="138"/>
      <c r="P1080" s="138"/>
      <c r="Q1080" s="138"/>
      <c r="R1080" s="138"/>
      <c r="S1080" s="138"/>
      <c r="T1080" s="138"/>
      <c r="U1080" s="139"/>
      <c r="V1080" s="139"/>
    </row>
    <row r="1081" ht="12.75" customHeight="1">
      <c r="A1081" s="136"/>
      <c r="B1081" s="136"/>
      <c r="C1081" s="136"/>
      <c r="D1081" s="137"/>
      <c r="E1081" s="136"/>
      <c r="F1081" s="136"/>
      <c r="G1081" s="138"/>
      <c r="H1081" s="138"/>
      <c r="I1081" s="138"/>
      <c r="J1081" s="138"/>
      <c r="K1081" s="138"/>
      <c r="L1081" s="138"/>
      <c r="M1081" s="138"/>
      <c r="N1081" s="138"/>
      <c r="O1081" s="138"/>
      <c r="P1081" s="138"/>
      <c r="Q1081" s="138"/>
      <c r="R1081" s="138"/>
      <c r="S1081" s="138"/>
      <c r="T1081" s="138"/>
      <c r="U1081" s="139"/>
      <c r="V1081" s="139"/>
    </row>
    <row r="1082" ht="12.75" customHeight="1">
      <c r="A1082" s="136"/>
      <c r="B1082" s="136"/>
      <c r="C1082" s="136"/>
      <c r="D1082" s="137"/>
      <c r="E1082" s="136"/>
      <c r="F1082" s="136"/>
      <c r="G1082" s="138"/>
      <c r="H1082" s="138"/>
      <c r="I1082" s="138"/>
      <c r="J1082" s="138"/>
      <c r="K1082" s="138"/>
      <c r="L1082" s="138"/>
      <c r="M1082" s="138"/>
      <c r="N1082" s="138"/>
      <c r="O1082" s="138"/>
      <c r="P1082" s="138"/>
      <c r="Q1082" s="138"/>
      <c r="R1082" s="138"/>
      <c r="S1082" s="138"/>
      <c r="T1082" s="138"/>
      <c r="U1082" s="139"/>
      <c r="V1082" s="139"/>
    </row>
    <row r="1083" ht="12.75" customHeight="1">
      <c r="A1083" s="136"/>
      <c r="B1083" s="136"/>
      <c r="C1083" s="136"/>
      <c r="D1083" s="137"/>
      <c r="E1083" s="136"/>
      <c r="F1083" s="136"/>
      <c r="G1083" s="138"/>
      <c r="H1083" s="138"/>
      <c r="I1083" s="138"/>
      <c r="J1083" s="138"/>
      <c r="K1083" s="138"/>
      <c r="L1083" s="138"/>
      <c r="M1083" s="138"/>
      <c r="N1083" s="138"/>
      <c r="O1083" s="138"/>
      <c r="P1083" s="138"/>
      <c r="Q1083" s="138"/>
      <c r="R1083" s="138"/>
      <c r="S1083" s="138"/>
      <c r="T1083" s="138"/>
      <c r="U1083" s="139"/>
      <c r="V1083" s="139"/>
    </row>
    <row r="1084" ht="12.75" customHeight="1">
      <c r="A1084" s="136"/>
      <c r="B1084" s="136"/>
      <c r="C1084" s="136"/>
      <c r="D1084" s="137"/>
      <c r="E1084" s="136"/>
      <c r="F1084" s="136"/>
      <c r="G1084" s="138"/>
      <c r="H1084" s="138"/>
      <c r="I1084" s="138"/>
      <c r="J1084" s="138"/>
      <c r="K1084" s="138"/>
      <c r="L1084" s="138"/>
      <c r="M1084" s="138"/>
      <c r="N1084" s="138"/>
      <c r="O1084" s="138"/>
      <c r="P1084" s="138"/>
      <c r="Q1084" s="138"/>
      <c r="R1084" s="138"/>
      <c r="S1084" s="138"/>
      <c r="T1084" s="138"/>
      <c r="U1084" s="139"/>
      <c r="V1084" s="139"/>
    </row>
    <row r="1085" ht="12.75" customHeight="1">
      <c r="A1085" s="136"/>
      <c r="B1085" s="136"/>
      <c r="C1085" s="136"/>
      <c r="D1085" s="137"/>
      <c r="E1085" s="136"/>
      <c r="F1085" s="136"/>
      <c r="G1085" s="138"/>
      <c r="H1085" s="138"/>
      <c r="I1085" s="138"/>
      <c r="J1085" s="138"/>
      <c r="K1085" s="138"/>
      <c r="L1085" s="138"/>
      <c r="M1085" s="138"/>
      <c r="N1085" s="138"/>
      <c r="O1085" s="138"/>
      <c r="P1085" s="138"/>
      <c r="Q1085" s="138"/>
      <c r="R1085" s="138"/>
      <c r="S1085" s="138"/>
      <c r="T1085" s="138"/>
      <c r="U1085" s="139"/>
      <c r="V1085" s="139"/>
    </row>
    <row r="1086" ht="12.75" customHeight="1">
      <c r="A1086" s="136"/>
      <c r="B1086" s="136"/>
      <c r="C1086" s="136"/>
      <c r="D1086" s="137"/>
      <c r="E1086" s="136"/>
      <c r="F1086" s="136"/>
      <c r="G1086" s="138"/>
      <c r="H1086" s="138"/>
      <c r="I1086" s="138"/>
      <c r="J1086" s="138"/>
      <c r="K1086" s="138"/>
      <c r="L1086" s="138"/>
      <c r="M1086" s="138"/>
      <c r="N1086" s="138"/>
      <c r="O1086" s="138"/>
      <c r="P1086" s="138"/>
      <c r="Q1086" s="138"/>
      <c r="R1086" s="138"/>
      <c r="S1086" s="138"/>
      <c r="T1086" s="138"/>
      <c r="U1086" s="139"/>
      <c r="V1086" s="139"/>
    </row>
    <row r="1087" ht="12.75" customHeight="1">
      <c r="A1087" s="136"/>
      <c r="B1087" s="136"/>
      <c r="C1087" s="136"/>
      <c r="D1087" s="137"/>
      <c r="E1087" s="136"/>
      <c r="F1087" s="136"/>
      <c r="G1087" s="138"/>
      <c r="H1087" s="138"/>
      <c r="I1087" s="138"/>
      <c r="J1087" s="138"/>
      <c r="K1087" s="138"/>
      <c r="L1087" s="138"/>
      <c r="M1087" s="138"/>
      <c r="N1087" s="138"/>
      <c r="O1087" s="138"/>
      <c r="P1087" s="138"/>
      <c r="Q1087" s="138"/>
      <c r="R1087" s="138"/>
      <c r="S1087" s="138"/>
      <c r="T1087" s="138"/>
      <c r="U1087" s="139"/>
      <c r="V1087" s="139"/>
    </row>
    <row r="1088" ht="12.75" customHeight="1">
      <c r="A1088" s="136"/>
      <c r="B1088" s="136"/>
      <c r="C1088" s="136"/>
      <c r="D1088" s="137"/>
      <c r="E1088" s="136"/>
      <c r="F1088" s="136"/>
      <c r="G1088" s="138"/>
      <c r="H1088" s="138"/>
      <c r="I1088" s="138"/>
      <c r="J1088" s="138"/>
      <c r="K1088" s="138"/>
      <c r="L1088" s="138"/>
      <c r="M1088" s="138"/>
      <c r="N1088" s="138"/>
      <c r="O1088" s="138"/>
      <c r="P1088" s="138"/>
      <c r="Q1088" s="138"/>
      <c r="R1088" s="138"/>
      <c r="S1088" s="138"/>
      <c r="T1088" s="138"/>
      <c r="U1088" s="139"/>
      <c r="V1088" s="139"/>
    </row>
    <row r="1089" ht="12.75" customHeight="1">
      <c r="A1089" s="136"/>
      <c r="B1089" s="136"/>
      <c r="C1089" s="136"/>
      <c r="D1089" s="137"/>
      <c r="E1089" s="136"/>
      <c r="F1089" s="136"/>
      <c r="G1089" s="138"/>
      <c r="H1089" s="138"/>
      <c r="I1089" s="138"/>
      <c r="J1089" s="138"/>
      <c r="K1089" s="138"/>
      <c r="L1089" s="138"/>
      <c r="M1089" s="138"/>
      <c r="N1089" s="138"/>
      <c r="O1089" s="138"/>
      <c r="P1089" s="138"/>
      <c r="Q1089" s="138"/>
      <c r="R1089" s="138"/>
      <c r="S1089" s="138"/>
      <c r="T1089" s="138"/>
      <c r="U1089" s="139"/>
      <c r="V1089" s="139"/>
    </row>
    <row r="1090" ht="12.75" customHeight="1">
      <c r="A1090" s="136"/>
      <c r="B1090" s="136"/>
      <c r="C1090" s="136"/>
      <c r="D1090" s="137"/>
      <c r="E1090" s="136"/>
      <c r="F1090" s="136"/>
      <c r="G1090" s="138"/>
      <c r="H1090" s="138"/>
      <c r="I1090" s="138"/>
      <c r="J1090" s="138"/>
      <c r="K1090" s="138"/>
      <c r="L1090" s="138"/>
      <c r="M1090" s="138"/>
      <c r="N1090" s="138"/>
      <c r="O1090" s="138"/>
      <c r="P1090" s="138"/>
      <c r="Q1090" s="138"/>
      <c r="R1090" s="138"/>
      <c r="S1090" s="138"/>
      <c r="T1090" s="138"/>
      <c r="U1090" s="139"/>
      <c r="V1090" s="139"/>
    </row>
    <row r="1091" ht="12.75" customHeight="1">
      <c r="A1091" s="136"/>
      <c r="B1091" s="136"/>
      <c r="C1091" s="136"/>
      <c r="D1091" s="137"/>
      <c r="E1091" s="136"/>
      <c r="F1091" s="136"/>
      <c r="G1091" s="138"/>
      <c r="H1091" s="138"/>
      <c r="I1091" s="138"/>
      <c r="J1091" s="138"/>
      <c r="K1091" s="138"/>
      <c r="L1091" s="138"/>
      <c r="M1091" s="138"/>
      <c r="N1091" s="138"/>
      <c r="O1091" s="138"/>
      <c r="P1091" s="138"/>
      <c r="Q1091" s="138"/>
      <c r="R1091" s="138"/>
      <c r="S1091" s="138"/>
      <c r="T1091" s="138"/>
      <c r="U1091" s="139"/>
      <c r="V1091" s="139"/>
    </row>
    <row r="1092" ht="12.75" customHeight="1">
      <c r="A1092" s="136"/>
      <c r="B1092" s="136"/>
      <c r="C1092" s="136"/>
      <c r="D1092" s="137"/>
      <c r="E1092" s="136"/>
      <c r="F1092" s="136"/>
      <c r="G1092" s="138"/>
      <c r="H1092" s="138"/>
      <c r="I1092" s="138"/>
      <c r="J1092" s="138"/>
      <c r="K1092" s="138"/>
      <c r="L1092" s="138"/>
      <c r="M1092" s="138"/>
      <c r="N1092" s="138"/>
      <c r="O1092" s="138"/>
      <c r="P1092" s="138"/>
      <c r="Q1092" s="138"/>
      <c r="R1092" s="138"/>
      <c r="S1092" s="138"/>
      <c r="T1092" s="138"/>
      <c r="U1092" s="139"/>
      <c r="V1092" s="139"/>
    </row>
    <row r="1093" ht="12.75" customHeight="1">
      <c r="A1093" s="136"/>
      <c r="B1093" s="136"/>
      <c r="C1093" s="136"/>
      <c r="D1093" s="137"/>
      <c r="E1093" s="136"/>
      <c r="F1093" s="136"/>
      <c r="G1093" s="138"/>
      <c r="H1093" s="138"/>
      <c r="I1093" s="138"/>
      <c r="J1093" s="138"/>
      <c r="K1093" s="138"/>
      <c r="L1093" s="138"/>
      <c r="M1093" s="138"/>
      <c r="N1093" s="138"/>
      <c r="O1093" s="138"/>
      <c r="P1093" s="138"/>
      <c r="Q1093" s="138"/>
      <c r="R1093" s="138"/>
      <c r="S1093" s="138"/>
      <c r="T1093" s="138"/>
      <c r="U1093" s="139"/>
      <c r="V1093" s="139"/>
    </row>
    <row r="1094" ht="12.75" customHeight="1">
      <c r="A1094" s="136"/>
      <c r="B1094" s="136"/>
      <c r="C1094" s="136"/>
      <c r="D1094" s="137"/>
      <c r="E1094" s="136"/>
      <c r="F1094" s="136"/>
      <c r="G1094" s="138"/>
      <c r="H1094" s="138"/>
      <c r="I1094" s="138"/>
      <c r="J1094" s="138"/>
      <c r="K1094" s="138"/>
      <c r="L1094" s="138"/>
      <c r="M1094" s="138"/>
      <c r="N1094" s="138"/>
      <c r="O1094" s="138"/>
      <c r="P1094" s="138"/>
      <c r="Q1094" s="138"/>
      <c r="R1094" s="138"/>
      <c r="S1094" s="138"/>
      <c r="T1094" s="138"/>
      <c r="U1094" s="139"/>
      <c r="V1094" s="139"/>
    </row>
    <row r="1095" ht="12.75" customHeight="1">
      <c r="A1095" s="136"/>
      <c r="B1095" s="136"/>
      <c r="C1095" s="136"/>
      <c r="D1095" s="137"/>
      <c r="E1095" s="136"/>
      <c r="F1095" s="136"/>
      <c r="G1095" s="138"/>
      <c r="H1095" s="138"/>
      <c r="I1095" s="138"/>
      <c r="J1095" s="138"/>
      <c r="K1095" s="138"/>
      <c r="L1095" s="138"/>
      <c r="M1095" s="138"/>
      <c r="N1095" s="138"/>
      <c r="O1095" s="138"/>
      <c r="P1095" s="138"/>
      <c r="Q1095" s="138"/>
      <c r="R1095" s="138"/>
      <c r="S1095" s="138"/>
      <c r="T1095" s="138"/>
      <c r="U1095" s="139"/>
      <c r="V1095" s="139"/>
    </row>
    <row r="1096" ht="12.75" customHeight="1">
      <c r="A1096" s="136"/>
      <c r="B1096" s="136"/>
      <c r="C1096" s="136"/>
      <c r="D1096" s="137"/>
      <c r="E1096" s="136"/>
      <c r="F1096" s="136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9"/>
      <c r="V1096" s="139"/>
    </row>
    <row r="1097" ht="12.75" customHeight="1">
      <c r="A1097" s="136"/>
      <c r="B1097" s="136"/>
      <c r="C1097" s="136"/>
      <c r="D1097" s="137"/>
      <c r="E1097" s="136"/>
      <c r="F1097" s="136"/>
      <c r="G1097" s="138"/>
      <c r="H1097" s="138"/>
      <c r="I1097" s="138"/>
      <c r="J1097" s="138"/>
      <c r="K1097" s="138"/>
      <c r="L1097" s="138"/>
      <c r="M1097" s="138"/>
      <c r="N1097" s="138"/>
      <c r="O1097" s="138"/>
      <c r="P1097" s="138"/>
      <c r="Q1097" s="138"/>
      <c r="R1097" s="138"/>
      <c r="S1097" s="138"/>
      <c r="T1097" s="138"/>
      <c r="U1097" s="139"/>
      <c r="V1097" s="139"/>
    </row>
    <row r="1098" ht="12.75" customHeight="1">
      <c r="A1098" s="136"/>
      <c r="B1098" s="136"/>
      <c r="C1098" s="136"/>
      <c r="D1098" s="137"/>
      <c r="E1098" s="136"/>
      <c r="F1098" s="136"/>
      <c r="G1098" s="138"/>
      <c r="H1098" s="138"/>
      <c r="I1098" s="138"/>
      <c r="J1098" s="138"/>
      <c r="K1098" s="138"/>
      <c r="L1098" s="138"/>
      <c r="M1098" s="138"/>
      <c r="N1098" s="138"/>
      <c r="O1098" s="138"/>
      <c r="P1098" s="138"/>
      <c r="Q1098" s="138"/>
      <c r="R1098" s="138"/>
      <c r="S1098" s="138"/>
      <c r="T1098" s="138"/>
      <c r="U1098" s="139"/>
      <c r="V1098" s="139"/>
    </row>
    <row r="1099" ht="12.75" customHeight="1">
      <c r="A1099" s="136"/>
      <c r="B1099" s="136"/>
      <c r="C1099" s="136"/>
      <c r="D1099" s="137"/>
      <c r="E1099" s="136"/>
      <c r="F1099" s="136"/>
      <c r="G1099" s="138"/>
      <c r="H1099" s="138"/>
      <c r="I1099" s="138"/>
      <c r="J1099" s="138"/>
      <c r="K1099" s="138"/>
      <c r="L1099" s="138"/>
      <c r="M1099" s="138"/>
      <c r="N1099" s="138"/>
      <c r="O1099" s="138"/>
      <c r="P1099" s="138"/>
      <c r="Q1099" s="138"/>
      <c r="R1099" s="138"/>
      <c r="S1099" s="138"/>
      <c r="T1099" s="138"/>
      <c r="U1099" s="139"/>
      <c r="V1099" s="139"/>
    </row>
    <row r="1100" ht="12.75" customHeight="1">
      <c r="A1100" s="136"/>
      <c r="B1100" s="136"/>
      <c r="C1100" s="136"/>
      <c r="D1100" s="137"/>
      <c r="E1100" s="136"/>
      <c r="F1100" s="136"/>
      <c r="G1100" s="138"/>
      <c r="H1100" s="138"/>
      <c r="I1100" s="138"/>
      <c r="J1100" s="138"/>
      <c r="K1100" s="138"/>
      <c r="L1100" s="138"/>
      <c r="M1100" s="138"/>
      <c r="N1100" s="138"/>
      <c r="O1100" s="138"/>
      <c r="P1100" s="138"/>
      <c r="Q1100" s="138"/>
      <c r="R1100" s="138"/>
      <c r="S1100" s="138"/>
      <c r="T1100" s="138"/>
      <c r="U1100" s="139"/>
      <c r="V1100" s="139"/>
    </row>
    <row r="1101" ht="12.75" customHeight="1">
      <c r="A1101" s="136"/>
      <c r="B1101" s="136"/>
      <c r="C1101" s="136"/>
      <c r="D1101" s="137"/>
      <c r="E1101" s="136"/>
      <c r="F1101" s="136"/>
      <c r="G1101" s="138"/>
      <c r="H1101" s="138"/>
      <c r="I1101" s="138"/>
      <c r="J1101" s="138"/>
      <c r="K1101" s="138"/>
      <c r="L1101" s="138"/>
      <c r="M1101" s="138"/>
      <c r="N1101" s="138"/>
      <c r="O1101" s="138"/>
      <c r="P1101" s="138"/>
      <c r="Q1101" s="138"/>
      <c r="R1101" s="138"/>
      <c r="S1101" s="138"/>
      <c r="T1101" s="138"/>
      <c r="U1101" s="139"/>
      <c r="V1101" s="139"/>
    </row>
    <row r="1102" ht="12.75" customHeight="1">
      <c r="A1102" s="136"/>
      <c r="B1102" s="136"/>
      <c r="C1102" s="136"/>
      <c r="D1102" s="137"/>
      <c r="E1102" s="136"/>
      <c r="F1102" s="136"/>
      <c r="G1102" s="138"/>
      <c r="H1102" s="138"/>
      <c r="I1102" s="138"/>
      <c r="J1102" s="138"/>
      <c r="K1102" s="138"/>
      <c r="L1102" s="138"/>
      <c r="M1102" s="138"/>
      <c r="N1102" s="138"/>
      <c r="O1102" s="138"/>
      <c r="P1102" s="138"/>
      <c r="Q1102" s="138"/>
      <c r="R1102" s="138"/>
      <c r="S1102" s="138"/>
      <c r="T1102" s="138"/>
      <c r="U1102" s="139"/>
      <c r="V1102" s="139"/>
    </row>
    <row r="1103" ht="12.75" customHeight="1">
      <c r="A1103" s="136"/>
      <c r="B1103" s="136"/>
      <c r="C1103" s="136"/>
      <c r="D1103" s="137"/>
      <c r="E1103" s="136"/>
      <c r="F1103" s="136"/>
      <c r="G1103" s="138"/>
      <c r="H1103" s="138"/>
      <c r="I1103" s="138"/>
      <c r="J1103" s="138"/>
      <c r="K1103" s="138"/>
      <c r="L1103" s="138"/>
      <c r="M1103" s="138"/>
      <c r="N1103" s="138"/>
      <c r="O1103" s="138"/>
      <c r="P1103" s="138"/>
      <c r="Q1103" s="138"/>
      <c r="R1103" s="138"/>
      <c r="S1103" s="138"/>
      <c r="T1103" s="138"/>
      <c r="U1103" s="139"/>
      <c r="V1103" s="139"/>
    </row>
    <row r="1104" ht="12.75" customHeight="1">
      <c r="A1104" s="136"/>
      <c r="B1104" s="136"/>
      <c r="C1104" s="136"/>
      <c r="D1104" s="137"/>
      <c r="E1104" s="136"/>
      <c r="F1104" s="136"/>
      <c r="G1104" s="138"/>
      <c r="H1104" s="138"/>
      <c r="I1104" s="138"/>
      <c r="J1104" s="138"/>
      <c r="K1104" s="138"/>
      <c r="L1104" s="138"/>
      <c r="M1104" s="138"/>
      <c r="N1104" s="138"/>
      <c r="O1104" s="138"/>
      <c r="P1104" s="138"/>
      <c r="Q1104" s="138"/>
      <c r="R1104" s="138"/>
      <c r="S1104" s="138"/>
      <c r="T1104" s="138"/>
      <c r="U1104" s="139"/>
      <c r="V1104" s="139"/>
    </row>
    <row r="1105" ht="12.75" customHeight="1">
      <c r="A1105" s="136"/>
      <c r="B1105" s="136"/>
      <c r="C1105" s="136"/>
      <c r="D1105" s="137"/>
      <c r="E1105" s="136"/>
      <c r="F1105" s="136"/>
      <c r="G1105" s="138"/>
      <c r="H1105" s="138"/>
      <c r="I1105" s="138"/>
      <c r="J1105" s="138"/>
      <c r="K1105" s="138"/>
      <c r="L1105" s="138"/>
      <c r="M1105" s="138"/>
      <c r="N1105" s="138"/>
      <c r="O1105" s="138"/>
      <c r="P1105" s="138"/>
      <c r="Q1105" s="138"/>
      <c r="R1105" s="138"/>
      <c r="S1105" s="138"/>
      <c r="T1105" s="138"/>
      <c r="U1105" s="139"/>
      <c r="V1105" s="139"/>
    </row>
    <row r="1106" ht="12.75" customHeight="1">
      <c r="A1106" s="136"/>
      <c r="B1106" s="136"/>
      <c r="C1106" s="136"/>
      <c r="D1106" s="137"/>
      <c r="E1106" s="136"/>
      <c r="F1106" s="136"/>
      <c r="G1106" s="138"/>
      <c r="H1106" s="138"/>
      <c r="I1106" s="138"/>
      <c r="J1106" s="138"/>
      <c r="K1106" s="138"/>
      <c r="L1106" s="138"/>
      <c r="M1106" s="138"/>
      <c r="N1106" s="138"/>
      <c r="O1106" s="138"/>
      <c r="P1106" s="138"/>
      <c r="Q1106" s="138"/>
      <c r="R1106" s="138"/>
      <c r="S1106" s="138"/>
      <c r="T1106" s="138"/>
      <c r="U1106" s="139"/>
      <c r="V1106" s="139"/>
    </row>
    <row r="1107" ht="12.75" customHeight="1">
      <c r="A1107" s="136"/>
      <c r="B1107" s="136"/>
      <c r="C1107" s="136"/>
      <c r="D1107" s="137"/>
      <c r="E1107" s="136"/>
      <c r="F1107" s="136"/>
      <c r="G1107" s="138"/>
      <c r="H1107" s="138"/>
      <c r="I1107" s="138"/>
      <c r="J1107" s="138"/>
      <c r="K1107" s="138"/>
      <c r="L1107" s="138"/>
      <c r="M1107" s="138"/>
      <c r="N1107" s="138"/>
      <c r="O1107" s="138"/>
      <c r="P1107" s="138"/>
      <c r="Q1107" s="138"/>
      <c r="R1107" s="138"/>
      <c r="S1107" s="138"/>
      <c r="T1107" s="138"/>
      <c r="U1107" s="139"/>
      <c r="V1107" s="139"/>
    </row>
    <row r="1108" ht="12.75" customHeight="1">
      <c r="A1108" s="136"/>
      <c r="B1108" s="136"/>
      <c r="C1108" s="136"/>
      <c r="D1108" s="137"/>
      <c r="E1108" s="136"/>
      <c r="F1108" s="136"/>
      <c r="G1108" s="138"/>
      <c r="H1108" s="138"/>
      <c r="I1108" s="138"/>
      <c r="J1108" s="138"/>
      <c r="K1108" s="138"/>
      <c r="L1108" s="138"/>
      <c r="M1108" s="138"/>
      <c r="N1108" s="138"/>
      <c r="O1108" s="138"/>
      <c r="P1108" s="138"/>
      <c r="Q1108" s="138"/>
      <c r="R1108" s="138"/>
      <c r="S1108" s="138"/>
      <c r="T1108" s="138"/>
      <c r="U1108" s="139"/>
      <c r="V1108" s="139"/>
    </row>
    <row r="1109" ht="12.75" customHeight="1">
      <c r="A1109" s="136"/>
      <c r="B1109" s="136"/>
      <c r="C1109" s="136"/>
      <c r="D1109" s="137"/>
      <c r="E1109" s="136"/>
      <c r="F1109" s="136"/>
      <c r="G1109" s="138"/>
      <c r="H1109" s="138"/>
      <c r="I1109" s="138"/>
      <c r="J1109" s="138"/>
      <c r="K1109" s="138"/>
      <c r="L1109" s="138"/>
      <c r="M1109" s="138"/>
      <c r="N1109" s="138"/>
      <c r="O1109" s="138"/>
      <c r="P1109" s="138"/>
      <c r="Q1109" s="138"/>
      <c r="R1109" s="138"/>
      <c r="S1109" s="138"/>
      <c r="T1109" s="138"/>
      <c r="U1109" s="139"/>
      <c r="V1109" s="139"/>
    </row>
    <row r="1110" ht="12.75" customHeight="1">
      <c r="A1110" s="136"/>
      <c r="B1110" s="136"/>
      <c r="C1110" s="136"/>
      <c r="D1110" s="137"/>
      <c r="E1110" s="136"/>
      <c r="F1110" s="136"/>
      <c r="G1110" s="138"/>
      <c r="H1110" s="138"/>
      <c r="I1110" s="138"/>
      <c r="J1110" s="138"/>
      <c r="K1110" s="138"/>
      <c r="L1110" s="138"/>
      <c r="M1110" s="138"/>
      <c r="N1110" s="138"/>
      <c r="O1110" s="138"/>
      <c r="P1110" s="138"/>
      <c r="Q1110" s="138"/>
      <c r="R1110" s="138"/>
      <c r="S1110" s="138"/>
      <c r="T1110" s="138"/>
      <c r="U1110" s="139"/>
      <c r="V1110" s="139"/>
    </row>
    <row r="1111" ht="12.75" customHeight="1">
      <c r="A1111" s="136"/>
      <c r="B1111" s="136"/>
      <c r="C1111" s="136"/>
      <c r="D1111" s="137"/>
      <c r="E1111" s="136"/>
      <c r="F1111" s="136"/>
      <c r="G1111" s="138"/>
      <c r="H1111" s="138"/>
      <c r="I1111" s="138"/>
      <c r="J1111" s="138"/>
      <c r="K1111" s="138"/>
      <c r="L1111" s="138"/>
      <c r="M1111" s="138"/>
      <c r="N1111" s="138"/>
      <c r="O1111" s="138"/>
      <c r="P1111" s="138"/>
      <c r="Q1111" s="138"/>
      <c r="R1111" s="138"/>
      <c r="S1111" s="138"/>
      <c r="T1111" s="138"/>
      <c r="U1111" s="139"/>
      <c r="V1111" s="139"/>
    </row>
    <row r="1112" ht="12.75" customHeight="1">
      <c r="A1112" s="136"/>
      <c r="B1112" s="136"/>
      <c r="C1112" s="136"/>
      <c r="D1112" s="137"/>
      <c r="E1112" s="136"/>
      <c r="F1112" s="136"/>
      <c r="G1112" s="138"/>
      <c r="H1112" s="138"/>
      <c r="I1112" s="138"/>
      <c r="J1112" s="138"/>
      <c r="K1112" s="138"/>
      <c r="L1112" s="138"/>
      <c r="M1112" s="138"/>
      <c r="N1112" s="138"/>
      <c r="O1112" s="138"/>
      <c r="P1112" s="138"/>
      <c r="Q1112" s="138"/>
      <c r="R1112" s="138"/>
      <c r="S1112" s="138"/>
      <c r="T1112" s="138"/>
      <c r="U1112" s="139"/>
      <c r="V1112" s="139"/>
    </row>
    <row r="1113" ht="12.75" customHeight="1">
      <c r="A1113" s="136"/>
      <c r="B1113" s="136"/>
      <c r="C1113" s="136"/>
      <c r="D1113" s="137"/>
      <c r="E1113" s="136"/>
      <c r="F1113" s="136"/>
      <c r="G1113" s="138"/>
      <c r="H1113" s="138"/>
      <c r="I1113" s="138"/>
      <c r="J1113" s="138"/>
      <c r="K1113" s="138"/>
      <c r="L1113" s="138"/>
      <c r="M1113" s="138"/>
      <c r="N1113" s="138"/>
      <c r="O1113" s="138"/>
      <c r="P1113" s="138"/>
      <c r="Q1113" s="138"/>
      <c r="R1113" s="138"/>
      <c r="S1113" s="138"/>
      <c r="T1113" s="138"/>
      <c r="U1113" s="139"/>
      <c r="V1113" s="139"/>
    </row>
    <row r="1114" ht="12.75" customHeight="1">
      <c r="A1114" s="136"/>
      <c r="B1114" s="136"/>
      <c r="C1114" s="136"/>
      <c r="D1114" s="137"/>
      <c r="E1114" s="136"/>
      <c r="F1114" s="136"/>
      <c r="G1114" s="138"/>
      <c r="H1114" s="138"/>
      <c r="I1114" s="138"/>
      <c r="J1114" s="138"/>
      <c r="K1114" s="138"/>
      <c r="L1114" s="138"/>
      <c r="M1114" s="138"/>
      <c r="N1114" s="138"/>
      <c r="O1114" s="138"/>
      <c r="P1114" s="138"/>
      <c r="Q1114" s="138"/>
      <c r="R1114" s="138"/>
      <c r="S1114" s="138"/>
      <c r="T1114" s="138"/>
      <c r="U1114" s="139"/>
      <c r="V1114" s="139"/>
    </row>
    <row r="1115" ht="12.75" customHeight="1">
      <c r="A1115" s="136"/>
      <c r="B1115" s="136"/>
      <c r="C1115" s="136"/>
      <c r="D1115" s="137"/>
      <c r="E1115" s="136"/>
      <c r="F1115" s="136"/>
      <c r="G1115" s="138"/>
      <c r="H1115" s="138"/>
      <c r="I1115" s="138"/>
      <c r="J1115" s="138"/>
      <c r="K1115" s="138"/>
      <c r="L1115" s="138"/>
      <c r="M1115" s="138"/>
      <c r="N1115" s="138"/>
      <c r="O1115" s="138"/>
      <c r="P1115" s="138"/>
      <c r="Q1115" s="138"/>
      <c r="R1115" s="138"/>
      <c r="S1115" s="138"/>
      <c r="T1115" s="138"/>
      <c r="U1115" s="139"/>
      <c r="V1115" s="139"/>
    </row>
    <row r="1116" ht="12.75" customHeight="1">
      <c r="A1116" s="136"/>
      <c r="B1116" s="136"/>
      <c r="C1116" s="136"/>
      <c r="D1116" s="137"/>
      <c r="E1116" s="136"/>
      <c r="F1116" s="136"/>
      <c r="G1116" s="138"/>
      <c r="H1116" s="138"/>
      <c r="I1116" s="138"/>
      <c r="J1116" s="138"/>
      <c r="K1116" s="138"/>
      <c r="L1116" s="138"/>
      <c r="M1116" s="138"/>
      <c r="N1116" s="138"/>
      <c r="O1116" s="138"/>
      <c r="P1116" s="138"/>
      <c r="Q1116" s="138"/>
      <c r="R1116" s="138"/>
      <c r="S1116" s="138"/>
      <c r="T1116" s="138"/>
      <c r="U1116" s="139"/>
      <c r="V1116" s="139"/>
    </row>
    <row r="1117" ht="12.75" customHeight="1">
      <c r="A1117" s="136"/>
      <c r="B1117" s="136"/>
      <c r="C1117" s="136"/>
      <c r="D1117" s="137"/>
      <c r="E1117" s="136"/>
      <c r="F1117" s="136"/>
      <c r="G1117" s="138"/>
      <c r="H1117" s="138"/>
      <c r="I1117" s="138"/>
      <c r="J1117" s="138"/>
      <c r="K1117" s="138"/>
      <c r="L1117" s="138"/>
      <c r="M1117" s="138"/>
      <c r="N1117" s="138"/>
      <c r="O1117" s="138"/>
      <c r="P1117" s="138"/>
      <c r="Q1117" s="138"/>
      <c r="R1117" s="138"/>
      <c r="S1117" s="138"/>
      <c r="T1117" s="138"/>
      <c r="U1117" s="139"/>
      <c r="V1117" s="139"/>
    </row>
    <row r="1118" ht="12.75" customHeight="1">
      <c r="A1118" s="136"/>
      <c r="B1118" s="136"/>
      <c r="C1118" s="136"/>
      <c r="D1118" s="137"/>
      <c r="E1118" s="136"/>
      <c r="F1118" s="136"/>
      <c r="G1118" s="138"/>
      <c r="H1118" s="138"/>
      <c r="I1118" s="138"/>
      <c r="J1118" s="138"/>
      <c r="K1118" s="138"/>
      <c r="L1118" s="138"/>
      <c r="M1118" s="138"/>
      <c r="N1118" s="138"/>
      <c r="O1118" s="138"/>
      <c r="P1118" s="138"/>
      <c r="Q1118" s="138"/>
      <c r="R1118" s="138"/>
      <c r="S1118" s="138"/>
      <c r="T1118" s="138"/>
      <c r="U1118" s="139"/>
      <c r="V1118" s="139"/>
    </row>
    <row r="1119" ht="12.75" customHeight="1">
      <c r="A1119" s="136"/>
      <c r="B1119" s="136"/>
      <c r="C1119" s="136"/>
      <c r="D1119" s="137"/>
      <c r="E1119" s="136"/>
      <c r="F1119" s="136"/>
      <c r="G1119" s="138"/>
      <c r="H1119" s="138"/>
      <c r="I1119" s="138"/>
      <c r="J1119" s="138"/>
      <c r="K1119" s="138"/>
      <c r="L1119" s="138"/>
      <c r="M1119" s="138"/>
      <c r="N1119" s="138"/>
      <c r="O1119" s="138"/>
      <c r="P1119" s="138"/>
      <c r="Q1119" s="138"/>
      <c r="R1119" s="138"/>
      <c r="S1119" s="138"/>
      <c r="T1119" s="138"/>
      <c r="U1119" s="139"/>
      <c r="V1119" s="139"/>
    </row>
    <row r="1120" ht="12.75" customHeight="1">
      <c r="A1120" s="136"/>
      <c r="B1120" s="136"/>
      <c r="C1120" s="136"/>
      <c r="D1120" s="137"/>
      <c r="E1120" s="136"/>
      <c r="F1120" s="136"/>
      <c r="G1120" s="138"/>
      <c r="H1120" s="138"/>
      <c r="I1120" s="138"/>
      <c r="J1120" s="138"/>
      <c r="K1120" s="138"/>
      <c r="L1120" s="138"/>
      <c r="M1120" s="138"/>
      <c r="N1120" s="138"/>
      <c r="O1120" s="138"/>
      <c r="P1120" s="138"/>
      <c r="Q1120" s="138"/>
      <c r="R1120" s="138"/>
      <c r="S1120" s="138"/>
      <c r="T1120" s="138"/>
      <c r="U1120" s="139"/>
      <c r="V1120" s="139"/>
    </row>
    <row r="1121" ht="12.75" customHeight="1">
      <c r="A1121" s="136"/>
      <c r="B1121" s="136"/>
      <c r="C1121" s="136"/>
      <c r="D1121" s="137"/>
      <c r="E1121" s="136"/>
      <c r="F1121" s="136"/>
      <c r="G1121" s="138"/>
      <c r="H1121" s="138"/>
      <c r="I1121" s="138"/>
      <c r="J1121" s="138"/>
      <c r="K1121" s="138"/>
      <c r="L1121" s="138"/>
      <c r="M1121" s="138"/>
      <c r="N1121" s="138"/>
      <c r="O1121" s="138"/>
      <c r="P1121" s="138"/>
      <c r="Q1121" s="138"/>
      <c r="R1121" s="138"/>
      <c r="S1121" s="138"/>
      <c r="T1121" s="138"/>
      <c r="U1121" s="139"/>
      <c r="V1121" s="139"/>
    </row>
    <row r="1122" ht="12.75" customHeight="1">
      <c r="A1122" s="136"/>
      <c r="B1122" s="136"/>
      <c r="C1122" s="136"/>
      <c r="D1122" s="137"/>
      <c r="E1122" s="136"/>
      <c r="F1122" s="136"/>
      <c r="G1122" s="138"/>
      <c r="H1122" s="138"/>
      <c r="I1122" s="138"/>
      <c r="J1122" s="138"/>
      <c r="K1122" s="138"/>
      <c r="L1122" s="138"/>
      <c r="M1122" s="138"/>
      <c r="N1122" s="138"/>
      <c r="O1122" s="138"/>
      <c r="P1122" s="138"/>
      <c r="Q1122" s="138"/>
      <c r="R1122" s="138"/>
      <c r="S1122" s="138"/>
      <c r="T1122" s="138"/>
      <c r="U1122" s="139"/>
      <c r="V1122" s="139"/>
    </row>
    <row r="1123" ht="12.75" customHeight="1">
      <c r="A1123" s="136"/>
      <c r="B1123" s="136"/>
      <c r="C1123" s="136"/>
      <c r="D1123" s="137"/>
      <c r="E1123" s="136"/>
      <c r="F1123" s="136"/>
      <c r="G1123" s="138"/>
      <c r="H1123" s="138"/>
      <c r="I1123" s="138"/>
      <c r="J1123" s="138"/>
      <c r="K1123" s="138"/>
      <c r="L1123" s="138"/>
      <c r="M1123" s="138"/>
      <c r="N1123" s="138"/>
      <c r="O1123" s="138"/>
      <c r="P1123" s="138"/>
      <c r="Q1123" s="138"/>
      <c r="R1123" s="138"/>
      <c r="S1123" s="138"/>
      <c r="T1123" s="138"/>
      <c r="U1123" s="139"/>
      <c r="V1123" s="139"/>
    </row>
    <row r="1124" ht="12.75" customHeight="1">
      <c r="A1124" s="136"/>
      <c r="B1124" s="136"/>
      <c r="C1124" s="136"/>
      <c r="D1124" s="137"/>
      <c r="E1124" s="136"/>
      <c r="F1124" s="136"/>
      <c r="G1124" s="138"/>
      <c r="H1124" s="138"/>
      <c r="I1124" s="138"/>
      <c r="J1124" s="138"/>
      <c r="K1124" s="138"/>
      <c r="L1124" s="138"/>
      <c r="M1124" s="138"/>
      <c r="N1124" s="138"/>
      <c r="O1124" s="138"/>
      <c r="P1124" s="138"/>
      <c r="Q1124" s="138"/>
      <c r="R1124" s="138"/>
      <c r="S1124" s="138"/>
      <c r="T1124" s="138"/>
      <c r="U1124" s="139"/>
      <c r="V1124" s="139"/>
    </row>
    <row r="1125" ht="12.75" customHeight="1">
      <c r="A1125" s="136"/>
      <c r="B1125" s="136"/>
      <c r="C1125" s="136"/>
      <c r="D1125" s="137"/>
      <c r="E1125" s="136"/>
      <c r="F1125" s="136"/>
      <c r="G1125" s="138"/>
      <c r="H1125" s="138"/>
      <c r="I1125" s="138"/>
      <c r="J1125" s="138"/>
      <c r="K1125" s="138"/>
      <c r="L1125" s="138"/>
      <c r="M1125" s="138"/>
      <c r="N1125" s="138"/>
      <c r="O1125" s="138"/>
      <c r="P1125" s="138"/>
      <c r="Q1125" s="138"/>
      <c r="R1125" s="138"/>
      <c r="S1125" s="138"/>
      <c r="T1125" s="138"/>
      <c r="U1125" s="139"/>
      <c r="V1125" s="139"/>
    </row>
    <row r="1126" ht="12.75" customHeight="1">
      <c r="A1126" s="136"/>
      <c r="B1126" s="136"/>
      <c r="C1126" s="136"/>
      <c r="D1126" s="137"/>
      <c r="E1126" s="136"/>
      <c r="F1126" s="136"/>
      <c r="G1126" s="138"/>
      <c r="H1126" s="138"/>
      <c r="I1126" s="138"/>
      <c r="J1126" s="138"/>
      <c r="K1126" s="138"/>
      <c r="L1126" s="138"/>
      <c r="M1126" s="138"/>
      <c r="N1126" s="138"/>
      <c r="O1126" s="138"/>
      <c r="P1126" s="138"/>
      <c r="Q1126" s="138"/>
      <c r="R1126" s="138"/>
      <c r="S1126" s="138"/>
      <c r="T1126" s="138"/>
      <c r="U1126" s="139"/>
      <c r="V1126" s="139"/>
    </row>
    <row r="1127" ht="12.75" customHeight="1">
      <c r="A1127" s="136"/>
      <c r="B1127" s="136"/>
      <c r="C1127" s="136"/>
      <c r="D1127" s="137"/>
      <c r="E1127" s="136"/>
      <c r="F1127" s="136"/>
      <c r="G1127" s="138"/>
      <c r="H1127" s="138"/>
      <c r="I1127" s="138"/>
      <c r="J1127" s="138"/>
      <c r="K1127" s="138"/>
      <c r="L1127" s="138"/>
      <c r="M1127" s="138"/>
      <c r="N1127" s="138"/>
      <c r="O1127" s="138"/>
      <c r="P1127" s="138"/>
      <c r="Q1127" s="138"/>
      <c r="R1127" s="138"/>
      <c r="S1127" s="138"/>
      <c r="T1127" s="138"/>
      <c r="U1127" s="139"/>
      <c r="V1127" s="139"/>
    </row>
    <row r="1128" ht="12.75" customHeight="1">
      <c r="A1128" s="136"/>
      <c r="B1128" s="136"/>
      <c r="C1128" s="136"/>
      <c r="D1128" s="137"/>
      <c r="E1128" s="136"/>
      <c r="F1128" s="136"/>
      <c r="G1128" s="138"/>
      <c r="H1128" s="138"/>
      <c r="I1128" s="138"/>
      <c r="J1128" s="138"/>
      <c r="K1128" s="138"/>
      <c r="L1128" s="138"/>
      <c r="M1128" s="138"/>
      <c r="N1128" s="138"/>
      <c r="O1128" s="138"/>
      <c r="P1128" s="138"/>
      <c r="Q1128" s="138"/>
      <c r="R1128" s="138"/>
      <c r="S1128" s="138"/>
      <c r="T1128" s="138"/>
      <c r="U1128" s="139"/>
      <c r="V1128" s="139"/>
    </row>
    <row r="1129" ht="12.75" customHeight="1">
      <c r="A1129" s="136"/>
      <c r="B1129" s="136"/>
      <c r="C1129" s="136"/>
      <c r="D1129" s="137"/>
      <c r="E1129" s="136"/>
      <c r="F1129" s="136"/>
      <c r="G1129" s="138"/>
      <c r="H1129" s="138"/>
      <c r="I1129" s="138"/>
      <c r="J1129" s="138"/>
      <c r="K1129" s="138"/>
      <c r="L1129" s="138"/>
      <c r="M1129" s="138"/>
      <c r="N1129" s="138"/>
      <c r="O1129" s="138"/>
      <c r="P1129" s="138"/>
      <c r="Q1129" s="138"/>
      <c r="R1129" s="138"/>
      <c r="S1129" s="138"/>
      <c r="T1129" s="138"/>
      <c r="U1129" s="139"/>
      <c r="V1129" s="139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40" t="s">
        <v>83</v>
      </c>
      <c r="B1" s="140" t="s">
        <v>84</v>
      </c>
      <c r="C1" s="140" t="s">
        <v>29</v>
      </c>
      <c r="D1" s="140" t="s">
        <v>85</v>
      </c>
      <c r="E1" s="140" t="s">
        <v>0</v>
      </c>
      <c r="F1" s="140" t="s">
        <v>86</v>
      </c>
      <c r="G1" s="140" t="s">
        <v>87</v>
      </c>
      <c r="H1" s="140" t="s">
        <v>88</v>
      </c>
      <c r="I1" s="140" t="s">
        <v>89</v>
      </c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42" t="s">
        <v>90</v>
      </c>
      <c r="B2" s="143" t="s">
        <v>91</v>
      </c>
      <c r="C2" s="143" t="s">
        <v>92</v>
      </c>
      <c r="D2" s="144">
        <v>46103.0</v>
      </c>
      <c r="E2" s="143">
        <v>2556.0</v>
      </c>
      <c r="F2" s="143" t="s">
        <v>93</v>
      </c>
      <c r="G2" s="143" t="s">
        <v>94</v>
      </c>
      <c r="H2" s="143" t="s">
        <v>95</v>
      </c>
      <c r="I2" s="143" t="s">
        <v>96</v>
      </c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</row>
    <row r="3">
      <c r="A3" s="143" t="s">
        <v>97</v>
      </c>
      <c r="B3" s="143" t="s">
        <v>98</v>
      </c>
      <c r="C3" s="143" t="s">
        <v>92</v>
      </c>
      <c r="D3" s="146">
        <v>46105.0</v>
      </c>
      <c r="E3" s="143">
        <v>1852.32</v>
      </c>
      <c r="F3" s="143" t="s">
        <v>93</v>
      </c>
      <c r="G3" s="143" t="s">
        <v>93</v>
      </c>
      <c r="H3" s="143" t="s">
        <v>99</v>
      </c>
      <c r="I3" s="143" t="s">
        <v>61</v>
      </c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</row>
    <row r="4">
      <c r="A4" s="143" t="s">
        <v>100</v>
      </c>
      <c r="B4" s="143" t="s">
        <v>101</v>
      </c>
      <c r="C4" s="143" t="s">
        <v>92</v>
      </c>
      <c r="D4" s="146">
        <v>46105.0</v>
      </c>
      <c r="E4" s="143">
        <v>1679.28</v>
      </c>
      <c r="F4" s="143" t="s">
        <v>93</v>
      </c>
      <c r="G4" s="143" t="s">
        <v>93</v>
      </c>
      <c r="H4" s="143" t="s">
        <v>102</v>
      </c>
      <c r="I4" s="143" t="s">
        <v>61</v>
      </c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</row>
    <row r="5">
      <c r="A5" s="143" t="s">
        <v>103</v>
      </c>
      <c r="B5" s="143" t="s">
        <v>104</v>
      </c>
      <c r="C5" s="143" t="s">
        <v>92</v>
      </c>
      <c r="D5" s="146">
        <v>46103.0</v>
      </c>
      <c r="E5" s="143">
        <v>1423.68</v>
      </c>
      <c r="F5" s="143" t="s">
        <v>93</v>
      </c>
      <c r="G5" s="143" t="s">
        <v>105</v>
      </c>
      <c r="H5" s="143" t="s">
        <v>106</v>
      </c>
      <c r="I5" s="143" t="s">
        <v>61</v>
      </c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</row>
    <row r="6">
      <c r="A6" s="143" t="s">
        <v>107</v>
      </c>
      <c r="B6" s="143" t="s">
        <v>104</v>
      </c>
      <c r="C6" s="143" t="s">
        <v>92</v>
      </c>
      <c r="D6" s="146">
        <v>46103.0</v>
      </c>
      <c r="E6" s="143">
        <v>2458.32</v>
      </c>
      <c r="F6" s="143" t="s">
        <v>93</v>
      </c>
      <c r="G6" s="143" t="s">
        <v>93</v>
      </c>
      <c r="H6" s="143" t="s">
        <v>108</v>
      </c>
      <c r="I6" s="143" t="s">
        <v>61</v>
      </c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</row>
    <row r="7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</row>
    <row r="8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</row>
    <row r="9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</row>
    <row r="10">
      <c r="A10" s="145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</row>
    <row r="1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</row>
    <row r="12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</row>
    <row r="13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</row>
    <row r="14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</row>
    <row r="15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</row>
    <row r="16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</row>
    <row r="17">
      <c r="A17" s="145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</row>
    <row r="18">
      <c r="A18" s="145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</row>
    <row r="19">
      <c r="A19" s="145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</row>
    <row r="20">
      <c r="A20" s="145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</row>
    <row r="21">
      <c r="A21" s="145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</row>
    <row r="22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</row>
    <row r="23">
      <c r="A23" s="145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</row>
    <row r="24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</row>
    <row r="25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</row>
    <row r="26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</row>
    <row r="27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</row>
    <row r="28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</row>
    <row r="29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</row>
    <row r="30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</row>
    <row r="3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</row>
    <row r="32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</row>
    <row r="33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</row>
    <row r="34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</row>
    <row r="3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</row>
    <row r="36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</row>
    <row r="37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</row>
    <row r="38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</row>
    <row r="39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</row>
    <row r="40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</row>
    <row r="4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</row>
    <row r="42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</row>
    <row r="43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</row>
    <row r="44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</row>
    <row r="45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</row>
  </sheetData>
  <drawing r:id="rId1"/>
</worksheet>
</file>