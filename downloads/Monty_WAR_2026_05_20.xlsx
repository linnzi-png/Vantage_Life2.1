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<sst xmlns="http://schemas.openxmlformats.org/spreadsheetml/2006/main" count="2791" uniqueCount="107">
  <si>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</si>
  <si>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</si>
  <si>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</si>
  <si>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</si>
  <si>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</si>
  <si>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</si>
  <si>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</si>
  <si>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</si>
  <si>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</si>
  <si>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</si>
  <si>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</si>
  <si>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</si>
  <si>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</si>
  <si>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</si>
  <si>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</si>
  <si>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</si>
  <si>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</si>
  <si>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</si>
  <si>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</si>
  <si>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</si>
  <si>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</si>
  <si>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</si>
  <si>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</si>
  <si>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</si>
  <si>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</si>
  <si>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</si>
  <si>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</si>
  <si>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</si>
  <si>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</si>
  <si>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</si>
  <si>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</si>
  <si>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</si>
  <si>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</si>
  <si>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</si>
  <si>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</si>
  <si>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</si>
  <si>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</si>
  <si>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</si>
  <si>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</si>
  <si>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</si>
  <si>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</si>
  <si>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</si>
  <si>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</si>
  <si>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</si>
  <si>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</si>
  <si>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</si>
  <si>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</si>
  <si>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</si>
  <si>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</si>
  <si>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</si>
  <si>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</si>
  <si>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</si>
  <si>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</si>
  <si>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</si>
  <si>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</si>
  <si>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</si>
  <si>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</si>
  <si>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</si>
  <si>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Tyler Litcher</t>
  </si>
  <si>
    <t>Sabrina Leu</t>
  </si>
  <si>
    <t>Sunshine Faimalo</t>
  </si>
  <si>
    <t>Cristina Alcivar</t>
  </si>
  <si>
    <t>Cristina Yocum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</si>
  <si>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</si>
  <si>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</si>
  <si>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</si>
  <si>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</si>
  <si>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</si>
  <si>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</si>
  <si>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</si>
  <si>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</si>
  <si>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</si>
  <si>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</si>
  <si>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</si>
  <si>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</si>
  <si>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</si>
  <si>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</si>
  <si>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</si>
  <si>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</si>
  <si>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</si>
  <si>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</si>
  <si>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</si>
  <si>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</si>
  <si>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</si>
  <si>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</si>
  <si>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</si>
  <si>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</si>
  <si>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RUDOLPHO ROSAS</t>
  </si>
  <si>
    <t>MOHAMMAD SAAD</t>
  </si>
  <si>
    <t>SAAD</t>
  </si>
  <si>
    <t>N/A</t>
  </si>
  <si>
    <t>NO</t>
  </si>
  <si>
    <t>UNAFFORDABLE</t>
  </si>
  <si>
    <t>FL</t>
  </si>
  <si>
    <t>VANITA NIZER</t>
  </si>
  <si>
    <t>GABRIEL ALSHEEBLAWY</t>
  </si>
  <si>
    <t>ALWATAN</t>
  </si>
  <si>
    <t>CLIENT UNSURE W MOVING FORWARD-CANCEL PER AGENT</t>
  </si>
  <si>
    <t>CARLTON MCBRIDE</t>
  </si>
  <si>
    <t>RYAN MCABEE</t>
  </si>
  <si>
    <t>HAD A BUNCH OF QS DURING VERIFY AND ENDED UP CANCELLING WITH AGENT.</t>
  </si>
  <si>
    <t>ALEJANDRO ZEPEDA</t>
  </si>
  <si>
    <t>MOHAMADALI ALWATAN</t>
  </si>
  <si>
    <t>SOME FINANCIAL THINGS CAME UP AND REALIZED THIS WAS TOO EXPENSIVE FOR HIM TO PAY FOR MONTHLY.</t>
  </si>
  <si>
    <t>ALIA MITCHELL</t>
  </si>
  <si>
    <t xml:space="preserve">TRIAL  </t>
  </si>
  <si>
    <t>UNREACHABLE/ BAD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</si>
</sst>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readingOrder="0" vertical="center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17890</v>
      </c>
      <c r="D2" s="9"/>
      <c r="E2" s="8">
        <f t="shared" ref="E2:R2" si="1">SUM(E5,E11)</f>
        <v>17602</v>
      </c>
      <c r="F2" s="8">
        <f t="shared" si="1"/>
        <v>63</v>
      </c>
      <c r="G2" s="10">
        <f t="shared" si="1"/>
        <v>29</v>
      </c>
      <c r="H2" s="10">
        <f t="shared" si="1"/>
        <v>14</v>
      </c>
      <c r="I2" s="10">
        <f t="shared" si="1"/>
        <v>1</v>
      </c>
      <c r="J2" s="10">
        <f t="shared" si="1"/>
        <v>0</v>
      </c>
      <c r="K2" s="10">
        <f t="shared" si="1"/>
        <v>4</v>
      </c>
      <c r="L2" s="10">
        <f t="shared" si="1"/>
        <v>4</v>
      </c>
      <c r="M2" s="10">
        <f t="shared" si="1"/>
        <v>52</v>
      </c>
      <c r="N2" s="10">
        <f t="shared" si="1"/>
        <v>21</v>
      </c>
      <c r="O2" s="10">
        <f t="shared" si="1"/>
        <v>8</v>
      </c>
      <c r="P2" s="10">
        <f t="shared" si="1"/>
        <v>8</v>
      </c>
      <c r="Q2" s="10">
        <f t="shared" si="1"/>
        <v>6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1277.857143</v>
      </c>
      <c r="F4" s="20">
        <f>IFERROR((G2+R2)/F2,0)</f>
        <v>0.4920634921</v>
      </c>
      <c r="G4" s="20">
        <f>IFERROR(H2/G2,0)</f>
        <v>0.4827586207</v>
      </c>
      <c r="H4" s="19">
        <f>(C2/C4)</f>
        <v>542.1212121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1.793103448</v>
      </c>
      <c r="N4" s="21"/>
      <c r="O4" s="20">
        <f>IFERROR(O2/N2,0)</f>
        <v>0.380952381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17890</v>
      </c>
      <c r="D5" s="26"/>
      <c r="E5" s="27">
        <f>SUMIFS(T:T,A:A,B5,D:D,"Y")</f>
        <v>17602</v>
      </c>
      <c r="F5" s="8">
        <f>SUMIF(A:A,B5,G:G)</f>
        <v>63</v>
      </c>
      <c r="G5" s="10">
        <f>SUMIF(A:A,B5,H:H)</f>
        <v>29</v>
      </c>
      <c r="H5" s="10">
        <f>SUMIF(A:A,B5,I:I)</f>
        <v>14</v>
      </c>
      <c r="I5" s="10">
        <f>SUMIF(A:A,B5,P:P)</f>
        <v>1</v>
      </c>
      <c r="J5" s="10">
        <f>SUMIF(A:A,B5,Q:Q)</f>
        <v>0</v>
      </c>
      <c r="K5" s="10">
        <f>SUMIF(A:A,B5,R:R)</f>
        <v>4</v>
      </c>
      <c r="L5" s="10">
        <f>SUMIF(A:A,B5,S:S)</f>
        <v>4</v>
      </c>
      <c r="M5" s="10">
        <f>SUMIF(A:A,B5,M:M)</f>
        <v>52</v>
      </c>
      <c r="N5" s="10">
        <f>SUMIF(A:A,B5,N:N)</f>
        <v>21</v>
      </c>
      <c r="O5" s="10">
        <f>SUMIF(A:A,B5,O:O)</f>
        <v>8</v>
      </c>
      <c r="P5" s="10">
        <f>SUMIF(A:A,B5,J:J)</f>
        <v>8</v>
      </c>
      <c r="Q5" s="10">
        <f>SUMIF(A:A,B5,K:K)</f>
        <v>6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1277.857143</v>
      </c>
      <c r="F7" s="20">
        <f>IFERROR((G5+R5)/F5,0)</f>
        <v>0.4920634921</v>
      </c>
      <c r="G7" s="20">
        <f>IFERROR(H5/G5,0)</f>
        <v>0.4827586207</v>
      </c>
      <c r="H7" s="19">
        <f>(C5/C7)</f>
        <v>1118.125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1.677419355</v>
      </c>
      <c r="N7" s="21"/>
      <c r="O7" s="20">
        <f>IFERROR(O5/N5,0)</f>
        <v>0.380952381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17890</v>
      </c>
      <c r="D8" s="36"/>
      <c r="E8" s="37">
        <f>SUMIFS(T:T,B:B,B8,D:D,"Y")</f>
        <v>17602</v>
      </c>
      <c r="F8" s="38">
        <f>SUMIF(B19:B1032,B8,G19:G1032)</f>
        <v>63</v>
      </c>
      <c r="G8" s="39">
        <f>SUMIF(B19:B1032,B8,H19:H1032)</f>
        <v>29</v>
      </c>
      <c r="H8" s="38">
        <f>SUMIF(B19:B1032,B8,I19:I1032)</f>
        <v>14</v>
      </c>
      <c r="I8" s="39">
        <f>SUMIF(B19:B1032,B8,P19:P1032)</f>
        <v>1</v>
      </c>
      <c r="J8" s="39">
        <f>SUMIF(B19:B1032,B8,Q19:Q1032)</f>
        <v>0</v>
      </c>
      <c r="K8" s="39">
        <f>SUMIF(B19:B1032,B8,R19:R1032)</f>
        <v>4</v>
      </c>
      <c r="L8" s="39">
        <f>SUMIF(B19:B1032,B8,S19:S1032)</f>
        <v>4</v>
      </c>
      <c r="M8" s="39">
        <f>SUMIF(B19:B1032,B8,M19:M1032)</f>
        <v>52</v>
      </c>
      <c r="N8" s="39">
        <f>SUMIF(B19:B1032,B8,N19:N1032)</f>
        <v>21</v>
      </c>
      <c r="O8" s="38">
        <f>SUMIF(B19:B1032,B8,O19:O1032)</f>
        <v>8</v>
      </c>
      <c r="P8" s="39">
        <f>SUMIF(B19:B1032,B8,J19:J1032)</f>
        <v>8</v>
      </c>
      <c r="Q8" s="39">
        <f>SUMIF(B19:B1032,B8,K19:K1032)</f>
        <v>6</v>
      </c>
      <c r="R8" s="38">
        <f>SUMIF(B19:B1032,B8,L19:L1032)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COUNTIFS(B19:B1032,B8)</f>
        <v>15</v>
      </c>
      <c r="D10" s="42"/>
      <c r="E10" s="50">
        <f>IFERROR(C8/H8,0)</f>
        <v>1277.857143</v>
      </c>
      <c r="F10" s="51">
        <f>IFERROR((G8+R8)/F8,0)</f>
        <v>0.4920634921</v>
      </c>
      <c r="G10" s="51">
        <f>IFERROR(H8/G8,0)</f>
        <v>0.4827586207</v>
      </c>
      <c r="H10" s="50">
        <f>(C8/C10)</f>
        <v>1192.666667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1.677419355</v>
      </c>
      <c r="N10" s="46"/>
      <c r="O10" s="51">
        <f>IFERROR(O8/N8,0)</f>
        <v>0.380952381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SUMIF(B19:B1032,B14,G19:G1032)</f>
        <v>0</v>
      </c>
      <c r="G14" s="39">
        <f>SUMIF(B19:B1032,B14,H19:H1032)</f>
        <v>0</v>
      </c>
      <c r="H14" s="38">
        <f>SUMIF(B19:B1032,B14,I19:I1032)</f>
        <v>0</v>
      </c>
      <c r="I14" s="39">
        <f>SUMIF(B19:B1032,B14,P19:P1032)</f>
        <v>0</v>
      </c>
      <c r="J14" s="39">
        <f>SUMIF(B19:B1032,B14,Q19:Q1032)</f>
        <v>0</v>
      </c>
      <c r="K14" s="39">
        <f>SUMIF(B19:B1032,B14,R19:R1032)</f>
        <v>0</v>
      </c>
      <c r="L14" s="39">
        <f>SUMIF(B19:B1032,B14,S19:S1032)</f>
        <v>0</v>
      </c>
      <c r="M14" s="39">
        <f>SUMIF(B19:B1032,B14,M19:M1032)</f>
        <v>0</v>
      </c>
      <c r="N14" s="39">
        <f>SUMIF(B19:B1032,B14,N19:N1032)</f>
        <v>0</v>
      </c>
      <c r="O14" s="38">
        <f>SUMIF(B19:B1032,B14,O19:O1032)</f>
        <v>0</v>
      </c>
      <c r="P14" s="39">
        <f>SUMIF(B19:B1032,B14,J19:J1032)</f>
        <v>0</v>
      </c>
      <c r="Q14" s="39">
        <f>SUMIF(B19:B1032,B14,K19:K1032)</f>
        <v>0</v>
      </c>
      <c r="R14" s="38">
        <f>SUMIF(B19:B1032,B14,L19:L1032)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COUNTIFS(B19:B1032,B14)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7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2</v>
      </c>
      <c r="H22" s="65">
        <f>('Thurs (2)'!H22+Thurs!H22+'Tues '!H22+Wed!H22+Fri!H22+'Mon '!H22+'Wed (2)'!H22+Sun!H22+Sat!H22)</f>
        <v>2</v>
      </c>
      <c r="I22" s="65">
        <f>('Thurs (2)'!I22+Thurs!I22+'Tues '!I22+Wed!I22+Fri!I22+'Mon '!I22+'Wed (2)'!I22+Sun!I22+Sat!I22)</f>
        <v>2</v>
      </c>
      <c r="J22" s="65">
        <f>('Thurs (2)'!J22+Thurs!J22+'Tues '!J22+Wed!J22+Fri!J22+'Mon '!J22+'Wed (2)'!J22+Sun!J22+Sat!J22)</f>
        <v>1</v>
      </c>
      <c r="K22" s="65">
        <f>('Thurs (2)'!K22+Thurs!K22+'Tues '!K22+Wed!K22+Fri!K22+'Mon '!K22+'Wed (2)'!K22+Sun!K22+Sat!K22)</f>
        <v>1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8</v>
      </c>
      <c r="N22" s="65">
        <f>('Thurs (2)'!N22+Thurs!N22+'Tues '!N22+Wed!N22+Fri!N22+'Mon '!N22+'Wed (2)'!N22+Sun!N22+Sat!N22)</f>
        <v>2</v>
      </c>
      <c r="O22" s="65">
        <f>('Thurs (2)'!O22+Thurs!O22+'Tues '!O22+Wed!O22+Fri!O22+'Mon '!O22+'Wed (2)'!O22+Sun!O22+Sat!O22)</f>
        <v>2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2595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9</v>
      </c>
      <c r="H24" s="65">
        <f>('Thurs (2)'!H24+Thurs!H24+'Tues '!H24+Wed!H24+Fri!H24+'Mon '!H24+'Wed (2)'!H24+Sun!H24+Sat!H24)</f>
        <v>8</v>
      </c>
      <c r="I24" s="65">
        <f>('Thurs (2)'!I24+Thurs!I24+'Tues '!I24+Wed!I24+Fri!I24+'Mon '!I24+'Wed (2)'!I24+Sun!I24+Sat!I24)</f>
        <v>2</v>
      </c>
      <c r="J24" s="65">
        <f>('Thurs (2)'!J24+Thurs!J24+'Tues '!J24+Wed!J24+Fri!J24+'Mon '!J24+'Wed (2)'!J24+Sun!J24+Sat!J24)</f>
        <v>1</v>
      </c>
      <c r="K24" s="65">
        <f>('Thurs (2)'!K24+Thurs!K24+'Tues '!K24+Wed!K24+Fri!K24+'Mon '!K24+'Wed (2)'!K24+Sun!K24+Sat!K24)</f>
        <v>1</v>
      </c>
      <c r="L24" s="65">
        <f>('Thurs (2)'!L24+Thurs!L24+'Tues '!L24+Wed!L24+Fri!L24+'Mon '!L24+'Wed (2)'!L24+Sun!L24+Sat!L24)</f>
        <v>1</v>
      </c>
      <c r="M24" s="65">
        <f>('Thurs (2)'!M24+Thurs!M24+'Tues '!M24+Wed!M24+Fri!M24+'Mon '!M24+'Wed (2)'!M24+Sun!M24+Sat!M24)</f>
        <v>11</v>
      </c>
      <c r="N24" s="65">
        <f>('Thurs (2)'!N24+Thurs!N24+'Tues '!N24+Wed!N24+Fri!N24+'Mon '!N24+'Wed (2)'!N24+Sun!N24+Sat!N24)</f>
        <v>1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2</v>
      </c>
      <c r="S24" s="65">
        <f>('Thurs (2)'!S24+Thurs!S24+'Tues '!S24+Wed!S24+Fri!S24+'Mon '!S24+'Wed (2)'!S24+Sun!S24+Sat!S24)</f>
        <v>2</v>
      </c>
      <c r="T24" s="65">
        <f>('Thurs (2)'!T24+Thurs!T24+'Tues '!T24+Wed!T24+Fri!T24+'Mon '!T24+'Wed (2)'!T24+Sun!T24+Sat!T24)</f>
        <v>3244</v>
      </c>
      <c r="U24" s="66">
        <f t="shared" si="2"/>
        <v>0.25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29</v>
      </c>
      <c r="H28" s="65">
        <f>('Thurs (2)'!H28+Thurs!H28+'Tues '!H28+Wed!H28+Fri!H28+'Mon '!H28+'Wed (2)'!H28+Sun!H28+Sat!H28)</f>
        <v>11</v>
      </c>
      <c r="I28" s="65">
        <f>('Thurs (2)'!I28+Thurs!I28+'Tues '!I28+Wed!I28+Fri!I28+'Mon '!I28+'Wed (2)'!I28+Sun!I28+Sat!I28)</f>
        <v>6</v>
      </c>
      <c r="J28" s="65">
        <f>('Thurs (2)'!J28+Thurs!J28+'Tues '!J28+Wed!J28+Fri!J28+'Mon '!J28+'Wed (2)'!J28+Sun!J28+Sat!J28)</f>
        <v>5</v>
      </c>
      <c r="K28" s="65">
        <f>('Thurs (2)'!K28+Thurs!K28+'Tues '!K28+Wed!K28+Fri!K28+'Mon '!K28+'Wed (2)'!K28+Sun!K28+Sat!K28)</f>
        <v>4</v>
      </c>
      <c r="L28" s="65">
        <f>('Thurs (2)'!L28+Thurs!L28+'Tues '!L28+Wed!L28+Fri!L28+'Mon '!L28+'Wed (2)'!L28+Sun!L28+Sat!L28)</f>
        <v>1</v>
      </c>
      <c r="M28" s="65">
        <f>('Thurs (2)'!M28+Thurs!M28+'Tues '!M28+Wed!M28+Fri!M28+'Mon '!M28+'Wed (2)'!M28+Sun!M28+Sat!M28)</f>
        <v>24</v>
      </c>
      <c r="N28" s="65">
        <f>('Thurs (2)'!N28+Thurs!N28+'Tues '!N28+Wed!N28+Fri!N28+'Mon '!N28+'Wed (2)'!N28+Sun!N28+Sat!N28)</f>
        <v>4</v>
      </c>
      <c r="O28" s="65">
        <f>('Thurs (2)'!O28+Thurs!O28+'Tues '!O28+Wed!O28+Fri!O28+'Mon '!O28+'Wed (2)'!O28+Sun!O28+Sat!O28)</f>
        <v>4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2</v>
      </c>
      <c r="S28" s="65">
        <f>('Thurs (2)'!S28+Thurs!S28+'Tues '!S28+Wed!S28+Fri!S28+'Mon '!S28+'Wed (2)'!S28+Sun!S28+Sat!S28)</f>
        <v>2</v>
      </c>
      <c r="T28" s="65">
        <f>('Thurs (2)'!T28+Thurs!T28+'Tues '!T28+Wed!T28+Fri!T28+'Mon '!T28+'Wed (2)'!T28+Sun!T28+Sat!T28)</f>
        <v>10942</v>
      </c>
      <c r="U28" s="66">
        <f t="shared" si="2"/>
        <v>0.5454545455</v>
      </c>
      <c r="V28" s="66">
        <f t="shared" si="3"/>
        <v>0.4137931034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14</v>
      </c>
      <c r="H29" s="65">
        <f>('Thurs (2)'!H29+Thurs!H29+'Tues '!H29+Wed!H29+Fri!H29+'Mon '!H29+'Wed (2)'!H29+Sun!H29+Sat!H29)</f>
        <v>4</v>
      </c>
      <c r="I29" s="65">
        <f>('Thurs (2)'!I29+Thurs!I29+'Tues '!I29+Wed!I29+Fri!I29+'Mon '!I29+'Wed (2)'!I29+Sun!I29+Sat!I29)</f>
        <v>3</v>
      </c>
      <c r="J29" s="65">
        <f>('Thurs (2)'!J29+Thurs!J29+'Tues '!J29+Wed!J29+Fri!J29+'Mon '!J29+'Wed (2)'!J29+Sun!J29+Sat!J29)</f>
        <v>1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0</v>
      </c>
      <c r="N29" s="65">
        <f>('Thurs (2)'!N29+Thurs!N29+'Tues '!N29+Wed!N29+Fri!N29+'Mon '!N29+'Wed (2)'!N29+Sun!N29+Sat!N29)</f>
        <v>13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1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288</v>
      </c>
      <c r="U29" s="66">
        <f t="shared" si="2"/>
        <v>0.75</v>
      </c>
      <c r="V29" s="66">
        <f t="shared" si="3"/>
        <v>0.2857142857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3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6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>
        <f>('Thurs (2)'!G33+Thurs!G33+'Tues '!G33+Wed!G33+Fri!G33+'Mon '!G33+'Wed (2)'!G33+Sun!G33+Sat!G33)</f>
        <v>2</v>
      </c>
      <c r="H33" s="65">
        <f>('Thurs (2)'!H33+Thurs!H33+'Tues '!H33+Wed!H33+Fri!H33+'Mon '!H33+'Wed (2)'!H33+Sun!H33+Sat!H33)</f>
        <v>1</v>
      </c>
      <c r="I33" s="65">
        <f>('Thurs (2)'!I33+Thurs!I33+'Tues '!I33+Wed!I33+Fri!I33+'Mon '!I33+'Wed (2)'!I33+Sun!I33+Sat!I33)</f>
        <v>1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3</v>
      </c>
      <c r="N33" s="65">
        <f>('Thurs (2)'!N33+Thurs!N33+'Tues '!N33+Wed!N33+Fri!N33+'Mon '!N33+'Wed (2)'!N33+Sun!N33+Sat!N33)</f>
        <v>1</v>
      </c>
      <c r="O33" s="65">
        <f>('Thurs (2)'!O33+Thurs!O33+'Tues '!O33+Wed!O33+Fri!O33+'Mon '!O33+'Wed (2)'!O33+Sun!O33+Sat!O33)</f>
        <v>1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821</v>
      </c>
      <c r="U33" s="66">
        <f t="shared" si="2"/>
        <v>1</v>
      </c>
      <c r="V33" s="66">
        <f t="shared" si="3"/>
        <v>0.5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>
        <f>('Thurs (2)'!G44+Thurs!G44+'Tues '!G44+Wed!G44+Fri!G44+'Mon '!G44+'Wed (2)'!G44+Sun!G44+Sat!G44)</f>
        <v>0</v>
      </c>
      <c r="H44" s="65">
        <f>('Thurs (2)'!H44+Thurs!H44+'Tues '!H44+Wed!H44+Fri!H44+'Mon '!H44+'Wed (2)'!H44+Sun!H44+Sat!H44)</f>
        <v>0</v>
      </c>
      <c r="I44" s="65">
        <f>('Thurs (2)'!I44+Thurs!I44+'Tues '!I44+Wed!I44+Fri!I44+'Mon '!I44+'Wed (2)'!I44+Sun!I44+Sat!I44)</f>
        <v>0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0</v>
      </c>
      <c r="S44" s="65">
        <f>('Thurs (2)'!S44+Thurs!S44+'Tues '!S44+Wed!S44+Fri!S44+'Mon '!S44+'Wed (2)'!S44+Sun!S44+Sat!S44)</f>
        <v>0</v>
      </c>
      <c r="T44" s="65">
        <f>('Thurs (2)'!T44+Thurs!T44+'Tues '!T44+Wed!T44+Fri!T44+'Mon '!T44+'Wed (2)'!T44+Sun!T44+Sat!T44)</f>
        <v>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>
        <f>('Thurs (2)'!G53+Thurs!G53+'Tues '!G53+Wed!G53+Fri!G53+'Mon '!G53+'Wed (2)'!G53+Sun!G53+Sat!G53)</f>
        <v>0</v>
      </c>
      <c r="H53" s="65">
        <f>('Thurs (2)'!H53+Thurs!H53+'Tues '!H53+Wed!H53+Fri!H53+'Mon '!H53+'Wed (2)'!H53+Sun!H53+Sat!H53)</f>
        <v>0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6972</v>
      </c>
      <c r="D2" s="9"/>
      <c r="E2" s="8">
        <f t="shared" ref="E2:R2" si="1">SUM(E5,E11)</f>
        <v>6972</v>
      </c>
      <c r="F2" s="8">
        <f t="shared" si="1"/>
        <v>17</v>
      </c>
      <c r="G2" s="10">
        <f t="shared" si="1"/>
        <v>12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22</v>
      </c>
      <c r="N2" s="10">
        <f t="shared" si="1"/>
        <v>4</v>
      </c>
      <c r="O2" s="10">
        <f t="shared" si="1"/>
        <v>4</v>
      </c>
      <c r="P2" s="10">
        <f t="shared" si="1"/>
        <v>3</v>
      </c>
      <c r="Q2" s="10">
        <f t="shared" si="1"/>
        <v>3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1394.4</v>
      </c>
      <c r="F4" s="20">
        <f>IFERROR((G2+R2)/F2,0)</f>
        <v>0.7058823529</v>
      </c>
      <c r="G4" s="20">
        <f>IFERROR(H2/G2,0)</f>
        <v>0.4166666667</v>
      </c>
      <c r="H4" s="19">
        <f>(C2/C4)</f>
        <v>211.2727273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1.833333333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6972</v>
      </c>
      <c r="D5" s="26"/>
      <c r="E5" s="27">
        <f>SUMIFS(T:T,A:A,B5,D:D,"Y")</f>
        <v>6972</v>
      </c>
      <c r="F5" s="8">
        <f>SUMIF(A:A,B5,G:G)</f>
        <v>17</v>
      </c>
      <c r="G5" s="10">
        <f>SUMIF(A:A,B5,H:H)</f>
        <v>12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22</v>
      </c>
      <c r="N5" s="10">
        <f>SUMIF(A:A,B5,N:N)</f>
        <v>4</v>
      </c>
      <c r="O5" s="10">
        <f>SUMIF(A:A,B5,O:O)</f>
        <v>4</v>
      </c>
      <c r="P5" s="10">
        <f>SUMIF(A:A,B5,J:J)</f>
        <v>3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1394.4</v>
      </c>
      <c r="F7" s="20">
        <f>IFERROR((G5+R5)/F5,0)</f>
        <v>0.7058823529</v>
      </c>
      <c r="G7" s="20">
        <f>IFERROR(H5/G5,0)</f>
        <v>0.4166666667</v>
      </c>
      <c r="H7" s="19">
        <f>(C5/C7)</f>
        <v>435.75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1.833333333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6972</v>
      </c>
      <c r="D8" s="36"/>
      <c r="E8" s="37">
        <f>SUMIFS(T:T,B:B,B8,D:D,"Y")</f>
        <v>6972</v>
      </c>
      <c r="F8" s="38">
        <f>SUMIF(B19:B1129,B8,G19:G1129)</f>
        <v>17</v>
      </c>
      <c r="G8" s="39">
        <f>SUMIF(B19:B1129,B8,H19:H1129)</f>
        <v>12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22</v>
      </c>
      <c r="N8" s="39">
        <f>SUMIF(B19:B1129,B8,N19:N1129)</f>
        <v>4</v>
      </c>
      <c r="O8" s="38">
        <f>SUMIF(B19:B1129,B8,O19:O1129)</f>
        <v>4</v>
      </c>
      <c r="P8" s="39">
        <f>SUMIF(B19:B1129,B8,J19:J1129)</f>
        <v>3</v>
      </c>
      <c r="Q8" s="39">
        <f>SUMIF(B19:B1129,B8,K19:K1129)</f>
        <v>3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1394.4</v>
      </c>
      <c r="F10" s="51">
        <f>IFERROR((G8+R8)/F8,0)</f>
        <v>0.7058823529</v>
      </c>
      <c r="G10" s="51">
        <f>IFERROR(H8/G8,0)</f>
        <v>0.4166666667</v>
      </c>
      <c r="H10" s="50">
        <f>(C8/C10)</f>
        <v>464.8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1.833333333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9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/>
      <c r="H21" s="106"/>
      <c r="I21" s="106"/>
      <c r="J21" s="106"/>
      <c r="K21" s="106"/>
      <c r="L21" s="106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2.0</v>
      </c>
      <c r="H22" s="106">
        <v>2.0</v>
      </c>
      <c r="I22" s="106">
        <v>2.0</v>
      </c>
      <c r="J22" s="106">
        <v>1.0</v>
      </c>
      <c r="K22" s="106">
        <v>1.0</v>
      </c>
      <c r="L22" s="106">
        <v>0.0</v>
      </c>
      <c r="M22" s="106">
        <v>8.0</v>
      </c>
      <c r="N22" s="106">
        <v>2.0</v>
      </c>
      <c r="O22" s="106">
        <v>2.0</v>
      </c>
      <c r="P22" s="106">
        <v>0.0</v>
      </c>
      <c r="Q22" s="106">
        <v>0.0</v>
      </c>
      <c r="R22" s="106">
        <v>0.0</v>
      </c>
      <c r="S22" s="106">
        <v>0.0</v>
      </c>
      <c r="T22" s="106">
        <v>2595.0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5.0</v>
      </c>
      <c r="H24" s="106">
        <v>3.0</v>
      </c>
      <c r="I24" s="106">
        <v>1.0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1.0</v>
      </c>
      <c r="S24" s="106">
        <v>1.0</v>
      </c>
      <c r="T24" s="106">
        <v>1180.0</v>
      </c>
      <c r="U24" s="66">
        <f t="shared" si="2"/>
        <v>0.3333333333</v>
      </c>
      <c r="V24" s="66">
        <f t="shared" si="3"/>
        <v>0.6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4.0</v>
      </c>
      <c r="I28" s="106">
        <v>2.0</v>
      </c>
      <c r="J28" s="106">
        <v>2.0</v>
      </c>
      <c r="K28" s="106">
        <v>2.0</v>
      </c>
      <c r="L28" s="106">
        <v>0.0</v>
      </c>
      <c r="M28" s="106">
        <v>10.0</v>
      </c>
      <c r="N28" s="106">
        <v>2.0</v>
      </c>
      <c r="O28" s="106">
        <v>2.0</v>
      </c>
      <c r="P28" s="106">
        <v>0.0</v>
      </c>
      <c r="Q28" s="106">
        <v>0.0</v>
      </c>
      <c r="R28" s="106">
        <v>0.0</v>
      </c>
      <c r="S28" s="106">
        <v>0.0</v>
      </c>
      <c r="T28" s="106">
        <v>3197.0</v>
      </c>
      <c r="U28" s="66">
        <f t="shared" si="2"/>
        <v>0.5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1.0</v>
      </c>
      <c r="H29" s="106">
        <v>1.0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si="2"/>
        <v>0</v>
      </c>
      <c r="V29" s="66">
        <f t="shared" si="3"/>
        <v>1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2.0</v>
      </c>
      <c r="I30" s="106">
        <v>0.0</v>
      </c>
      <c r="J30" s="106">
        <v>0.0</v>
      </c>
      <c r="K30" s="106">
        <v>0.0</v>
      </c>
      <c r="L30" s="106">
        <v>0.0</v>
      </c>
      <c r="M30" s="106">
        <v>4.0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107">
        <v>0.0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ref="U31:U35" si="4">IFERROR(I31/H31,0)</f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4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106">
        <v>1.0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5">IFERROR(I37/H37,0)</f>
        <v>0</v>
      </c>
      <c r="V37" s="66">
        <f t="shared" ref="V37:V53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5843</v>
      </c>
      <c r="D2" s="9"/>
      <c r="E2" s="8">
        <f t="shared" ref="E2:R2" si="1">SUM(E5,E11)</f>
        <v>5555</v>
      </c>
      <c r="F2" s="8">
        <f t="shared" si="1"/>
        <v>23</v>
      </c>
      <c r="G2" s="10">
        <f t="shared" si="1"/>
        <v>7</v>
      </c>
      <c r="H2" s="10">
        <f t="shared" si="1"/>
        <v>6</v>
      </c>
      <c r="I2" s="10">
        <f t="shared" si="1"/>
        <v>1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9</v>
      </c>
      <c r="N2" s="10">
        <f t="shared" si="1"/>
        <v>16</v>
      </c>
      <c r="O2" s="10">
        <f t="shared" si="1"/>
        <v>3</v>
      </c>
      <c r="P2" s="10">
        <f t="shared" si="1"/>
        <v>3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973.8333333</v>
      </c>
      <c r="F4" s="20">
        <f>IFERROR((G2+R2)/F2,0)</f>
        <v>0.3043478261</v>
      </c>
      <c r="G4" s="20">
        <f>IFERROR(H2/G2,0)</f>
        <v>0.8571428571</v>
      </c>
      <c r="H4" s="19">
        <f>(C2/C4)</f>
        <v>177.0606061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1.285714286</v>
      </c>
      <c r="N4" s="21"/>
      <c r="O4" s="20">
        <f>IFERROR(O2/N2,0)</f>
        <v>0.1875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5843</v>
      </c>
      <c r="D5" s="26"/>
      <c r="E5" s="27">
        <f>SUMIFS(T:T,A:A,B5,D:D,"Y")</f>
        <v>5555</v>
      </c>
      <c r="F5" s="8">
        <f>SUMIF(A:A,B5,G:G)</f>
        <v>23</v>
      </c>
      <c r="G5" s="10">
        <f>SUMIF(A:A,B5,H:H)</f>
        <v>7</v>
      </c>
      <c r="H5" s="10">
        <f>SUMIF(A:A,B5,I:I)</f>
        <v>6</v>
      </c>
      <c r="I5" s="10">
        <f>SUMIF(A:A,B5,P:P)</f>
        <v>1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9</v>
      </c>
      <c r="N5" s="10">
        <f>SUMIF(A:A,B5,N:N)</f>
        <v>16</v>
      </c>
      <c r="O5" s="10">
        <f>SUMIF(A:A,B5,O:O)</f>
        <v>3</v>
      </c>
      <c r="P5" s="10">
        <f>SUMIF(A:A,B5,J:J)</f>
        <v>3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973.8333333</v>
      </c>
      <c r="F7" s="20">
        <f>IFERROR((G5+R5)/F5,0)</f>
        <v>0.3043478261</v>
      </c>
      <c r="G7" s="20">
        <f>IFERROR(H5/G5,0)</f>
        <v>0.8571428571</v>
      </c>
      <c r="H7" s="19">
        <f>(C5/C7)</f>
        <v>365.1875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1.285714286</v>
      </c>
      <c r="N7" s="21"/>
      <c r="O7" s="20">
        <f>IFERROR(O5/N5,0)</f>
        <v>0.1875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5843</v>
      </c>
      <c r="D8" s="36"/>
      <c r="E8" s="37">
        <f>SUMIFS(T:T,B:B,B8,D:D,"Y")</f>
        <v>5555</v>
      </c>
      <c r="F8" s="38">
        <f>SUMIF(B19:B1129,B8,G19:G1129)</f>
        <v>23</v>
      </c>
      <c r="G8" s="39">
        <f>SUMIF(B19:B1129,B8,H19:H1129)</f>
        <v>7</v>
      </c>
      <c r="H8" s="38">
        <f>SUMIF(B19:B1129,B8,I19:I1129)</f>
        <v>6</v>
      </c>
      <c r="I8" s="39">
        <f>SUMIF(B19:B1129,B8,P19:P1129)</f>
        <v>1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9</v>
      </c>
      <c r="N8" s="39">
        <f>SUMIF(B19:B1129,B8,N19:N1129)</f>
        <v>16</v>
      </c>
      <c r="O8" s="38">
        <f>SUMIF(B19:B1129,B8,O19:O1129)</f>
        <v>3</v>
      </c>
      <c r="P8" s="39">
        <f>SUMIF(B19:B1129,B8,J19:J1129)</f>
        <v>3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973.8333333</v>
      </c>
      <c r="F10" s="51">
        <f>IFERROR((G8+R8)/F8,0)</f>
        <v>0.3043478261</v>
      </c>
      <c r="G10" s="51">
        <f>IFERROR(H8/G8,0)</f>
        <v>0.8571428571</v>
      </c>
      <c r="H10" s="50">
        <f>(C8/C10)</f>
        <v>389.5333333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1.285714286</v>
      </c>
      <c r="N10" s="46"/>
      <c r="O10" s="51">
        <f>IFERROR(O8/N8,0)</f>
        <v>0.1875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0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3.0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1.0</v>
      </c>
      <c r="H24" s="106">
        <v>1.0</v>
      </c>
      <c r="I24" s="106">
        <v>1.0</v>
      </c>
      <c r="J24" s="106">
        <v>1.0</v>
      </c>
      <c r="K24" s="106">
        <v>1.0</v>
      </c>
      <c r="L24" s="106">
        <v>0.0</v>
      </c>
      <c r="M24" s="106">
        <v>1.0</v>
      </c>
      <c r="N24" s="106">
        <v>1.0</v>
      </c>
      <c r="O24" s="106">
        <v>0.0</v>
      </c>
      <c r="P24" s="106">
        <v>0.0</v>
      </c>
      <c r="Q24" s="106">
        <v>0.0</v>
      </c>
      <c r="R24" s="106">
        <v>1.0</v>
      </c>
      <c r="S24" s="106">
        <v>1.0</v>
      </c>
      <c r="T24" s="106">
        <v>2064.0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65"/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5.0</v>
      </c>
      <c r="H28" s="106">
        <v>2.0</v>
      </c>
      <c r="I28" s="106">
        <v>1.0</v>
      </c>
      <c r="J28" s="106">
        <v>1.0</v>
      </c>
      <c r="K28" s="106">
        <v>1.0</v>
      </c>
      <c r="L28" s="106">
        <v>0.0</v>
      </c>
      <c r="M28" s="106">
        <v>5.0</v>
      </c>
      <c r="N28" s="106">
        <v>1.0</v>
      </c>
      <c r="O28" s="106">
        <v>1.0</v>
      </c>
      <c r="P28" s="106">
        <v>0.0</v>
      </c>
      <c r="Q28" s="106">
        <v>0.0</v>
      </c>
      <c r="R28" s="106">
        <v>0.0</v>
      </c>
      <c r="S28" s="106">
        <v>0.0</v>
      </c>
      <c r="T28" s="106">
        <v>2670.0</v>
      </c>
      <c r="U28" s="66">
        <f t="shared" si="2"/>
        <v>0.5</v>
      </c>
      <c r="V28" s="66">
        <f t="shared" si="3"/>
        <v>0.4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13.0</v>
      </c>
      <c r="H29" s="106">
        <v>3.0</v>
      </c>
      <c r="I29" s="106">
        <v>3.0</v>
      </c>
      <c r="J29" s="106">
        <v>1.0</v>
      </c>
      <c r="K29" s="106">
        <v>0.0</v>
      </c>
      <c r="L29" s="106">
        <v>0.0</v>
      </c>
      <c r="M29" s="106">
        <v>0.0</v>
      </c>
      <c r="N29" s="106">
        <v>13.0</v>
      </c>
      <c r="O29" s="106">
        <v>1.0</v>
      </c>
      <c r="P29" s="106">
        <v>1.0</v>
      </c>
      <c r="Q29" s="106">
        <v>0.0</v>
      </c>
      <c r="R29" s="106">
        <v>0.0</v>
      </c>
      <c r="S29" s="106">
        <v>0.0</v>
      </c>
      <c r="T29" s="106">
        <v>288.0</v>
      </c>
      <c r="U29" s="66">
        <f t="shared" si="2"/>
        <v>1</v>
      </c>
      <c r="V29" s="66">
        <f t="shared" si="3"/>
        <v>0.2307692308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107">
        <v>0.0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ref="U32:U35" si="4">IFERROR(I32/H32,0)</f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106">
        <v>1.0</v>
      </c>
      <c r="H33" s="106">
        <v>1.0</v>
      </c>
      <c r="I33" s="106">
        <v>1.0</v>
      </c>
      <c r="J33" s="106">
        <v>0.0</v>
      </c>
      <c r="K33" s="106">
        <v>0.0</v>
      </c>
      <c r="L33" s="106">
        <v>0.0</v>
      </c>
      <c r="M33" s="106">
        <v>3.0</v>
      </c>
      <c r="N33" s="106">
        <v>1.0</v>
      </c>
      <c r="O33" s="106">
        <v>1.0</v>
      </c>
      <c r="P33" s="106">
        <v>0.0</v>
      </c>
      <c r="Q33" s="106">
        <v>0.0</v>
      </c>
      <c r="R33" s="106">
        <v>0.0</v>
      </c>
      <c r="S33" s="106">
        <v>0.0</v>
      </c>
      <c r="T33" s="106">
        <v>821.0</v>
      </c>
      <c r="U33" s="66">
        <f t="shared" si="4"/>
        <v>1</v>
      </c>
      <c r="V33" s="66">
        <f t="shared" si="3"/>
        <v>1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5">IFERROR(I37/H37,0)</f>
        <v>0</v>
      </c>
      <c r="V37" s="66">
        <f t="shared" ref="V37:V53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9</v>
      </c>
      <c r="G2" s="10">
        <f t="shared" si="1"/>
        <v>2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7</v>
      </c>
      <c r="N2" s="10">
        <f t="shared" si="1"/>
        <v>0</v>
      </c>
      <c r="O2" s="10">
        <f t="shared" si="1"/>
        <v>0</v>
      </c>
      <c r="P2" s="10">
        <f t="shared" si="1"/>
        <v>1</v>
      </c>
      <c r="Q2" s="10">
        <f t="shared" si="1"/>
        <v>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0.3333333333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3.5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9</v>
      </c>
      <c r="G5" s="10">
        <f>SUMIF(A:A,B5,H:H)</f>
        <v>2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7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0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0.3333333333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2.333333333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9</v>
      </c>
      <c r="G8" s="39">
        <f>SUMIF(B19:B1129,B8,H19:H1129)</f>
        <v>2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7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0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0.3333333333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2.333333333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1.0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0.0</v>
      </c>
      <c r="H22" s="106">
        <v>0.0</v>
      </c>
      <c r="I22" s="106">
        <v>0.0</v>
      </c>
      <c r="J22" s="106">
        <v>0.0</v>
      </c>
      <c r="K22" s="106">
        <v>0.0</v>
      </c>
      <c r="L22" s="106">
        <v>0.0</v>
      </c>
      <c r="M22" s="106">
        <v>0.0</v>
      </c>
      <c r="N22" s="106">
        <v>0.0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1.0</v>
      </c>
      <c r="I28" s="106">
        <v>0.0</v>
      </c>
      <c r="J28" s="106">
        <v>1.0</v>
      </c>
      <c r="K28" s="106">
        <v>0.0</v>
      </c>
      <c r="L28" s="106">
        <v>1.0</v>
      </c>
      <c r="M28" s="106">
        <v>5.0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107">
        <v>0.0</v>
      </c>
      <c r="V28" s="66">
        <f t="shared" si="3"/>
        <v>0.25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ref="U29:U30" si="4">IFERROR(I29/H29,0)</f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1.0</v>
      </c>
      <c r="I30" s="106">
        <v>0.0</v>
      </c>
      <c r="J30" s="106">
        <v>0.0</v>
      </c>
      <c r="K30" s="106">
        <v>0.0</v>
      </c>
      <c r="L30" s="106">
        <v>0.0</v>
      </c>
      <c r="M30" s="106">
        <v>2.0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107">
        <v>0.0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107">
        <v>0.0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ref="U33:U35" si="5">IFERROR(I33/H33,0)</f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5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6">IFERROR(I37/H37,0)</f>
        <v>0</v>
      </c>
      <c r="V37" s="66">
        <f t="shared" ref="V37:V53" si="7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6"/>
        <v>0</v>
      </c>
      <c r="V38" s="66">
        <f t="shared" si="7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6"/>
        <v>0</v>
      </c>
      <c r="V39" s="66">
        <f t="shared" si="7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6"/>
        <v>0</v>
      </c>
      <c r="V53" s="66">
        <f t="shared" si="7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0.0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0.0</v>
      </c>
      <c r="H28" s="106">
        <v>0.0</v>
      </c>
      <c r="I28" s="106">
        <v>0.0</v>
      </c>
      <c r="J28" s="106">
        <v>0.0</v>
      </c>
      <c r="K28" s="106">
        <v>0.0</v>
      </c>
      <c r="L28" s="106">
        <v>0.0</v>
      </c>
      <c r="M28" s="106">
        <v>0.0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107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ref="U29:U35" si="4">IFERROR(I29/H29,0)</f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4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4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5">IFERROR(I37/H37,0)</f>
        <v>0</v>
      </c>
      <c r="V37" s="66">
        <f t="shared" ref="V37:V53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27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0.0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106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0.0</v>
      </c>
      <c r="H28" s="106">
        <v>0.0</v>
      </c>
      <c r="I28" s="106">
        <v>0.0</v>
      </c>
      <c r="J28" s="106">
        <v>0.0</v>
      </c>
      <c r="K28" s="106">
        <v>0.0</v>
      </c>
      <c r="L28" s="106">
        <v>0.0</v>
      </c>
      <c r="M28" s="106">
        <v>0.0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107">
        <v>0.0</v>
      </c>
      <c r="V28" s="107">
        <v>0.0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ref="U29:U30" si="4">IFERROR(I29/H29,0)</f>
        <v>0</v>
      </c>
      <c r="V29" s="66">
        <f t="shared" ref="V29:V35" si="5">IFERROR(SUM(H29+L29)/G29,0)</f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5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107">
        <v>0.0</v>
      </c>
      <c r="V31" s="66">
        <f t="shared" si="5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ref="U32:U35" si="6">IFERROR(I32/H32,0)</f>
        <v>0</v>
      </c>
      <c r="V32" s="66">
        <f t="shared" si="5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6"/>
        <v>0</v>
      </c>
      <c r="V33" s="66">
        <f t="shared" si="5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6"/>
        <v>0</v>
      </c>
      <c r="V34" s="66">
        <f t="shared" si="5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6"/>
        <v>0</v>
      </c>
      <c r="V35" s="66">
        <f t="shared" si="5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7">IFERROR(I37/H37,0)</f>
        <v>0</v>
      </c>
      <c r="V37" s="66">
        <f t="shared" ref="V37:V53" si="8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7"/>
        <v>0</v>
      </c>
      <c r="V38" s="66">
        <f t="shared" si="8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7"/>
        <v>0</v>
      </c>
      <c r="V39" s="66">
        <f t="shared" si="8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7"/>
        <v>0</v>
      </c>
      <c r="V40" s="66">
        <f t="shared" si="8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7"/>
        <v>0</v>
      </c>
      <c r="V41" s="66">
        <f t="shared" si="8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7"/>
        <v>0</v>
      </c>
      <c r="V42" s="66">
        <f t="shared" si="8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7"/>
        <v>0</v>
      </c>
      <c r="V43" s="66">
        <f t="shared" si="8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7"/>
        <v>0</v>
      </c>
      <c r="V44" s="66">
        <f t="shared" si="8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7"/>
        <v>0</v>
      </c>
      <c r="V45" s="66">
        <f t="shared" si="8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7"/>
        <v>0</v>
      </c>
      <c r="V46" s="66">
        <f t="shared" si="8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7"/>
        <v>0</v>
      </c>
      <c r="V47" s="66">
        <f t="shared" si="8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7"/>
        <v>0</v>
      </c>
      <c r="V48" s="66">
        <f t="shared" si="8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7"/>
        <v>0</v>
      </c>
      <c r="V49" s="66">
        <f t="shared" si="8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7"/>
        <v>0</v>
      </c>
      <c r="V50" s="66">
        <f t="shared" si="8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7"/>
        <v>0</v>
      </c>
      <c r="V51" s="66">
        <f t="shared" si="8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7"/>
        <v>0</v>
      </c>
      <c r="V52" s="66">
        <f t="shared" si="8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7"/>
        <v>0</v>
      </c>
      <c r="V53" s="66">
        <f t="shared" si="8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2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2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2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2.0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0.0</v>
      </c>
      <c r="H28" s="106">
        <v>0.0</v>
      </c>
      <c r="I28" s="106">
        <v>0.0</v>
      </c>
      <c r="J28" s="106">
        <v>0.0</v>
      </c>
      <c r="K28" s="106">
        <v>0.0</v>
      </c>
      <c r="L28" s="106">
        <v>0.0</v>
      </c>
      <c r="M28" s="106">
        <v>0.0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107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>IFERROR(I29/H29,0)</f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107">
        <v>0.0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ref="U31:U35" si="4">IFERROR(I31/H31,0)</f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4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5">IFERROR(I37/H37,0)</f>
        <v>0</v>
      </c>
      <c r="V37" s="66">
        <f t="shared" ref="V37:V53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5075</v>
      </c>
      <c r="D2" s="9"/>
      <c r="E2" s="8">
        <f t="shared" ref="E2:R2" si="1">SUM(E5,E11)</f>
        <v>5075</v>
      </c>
      <c r="F2" s="8">
        <f t="shared" si="1"/>
        <v>12</v>
      </c>
      <c r="G2" s="10">
        <f t="shared" si="1"/>
        <v>8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2</v>
      </c>
      <c r="M2" s="10">
        <f t="shared" si="1"/>
        <v>14</v>
      </c>
      <c r="N2" s="10">
        <f t="shared" si="1"/>
        <v>1</v>
      </c>
      <c r="O2" s="10">
        <f t="shared" si="1"/>
        <v>1</v>
      </c>
      <c r="P2" s="10">
        <f t="shared" si="1"/>
        <v>1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1691.666667</v>
      </c>
      <c r="F4" s="20">
        <f>IFERROR((G2+R2)/F2,0)</f>
        <v>0.75</v>
      </c>
      <c r="G4" s="20">
        <f>IFERROR(H2/G2,0)</f>
        <v>0.375</v>
      </c>
      <c r="H4" s="19">
        <f>(C2/C4)</f>
        <v>153.7878788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1.75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5075</v>
      </c>
      <c r="D5" s="26"/>
      <c r="E5" s="27">
        <f>SUMIFS(T:T,A:A,B5,D:D,"Y")</f>
        <v>5075</v>
      </c>
      <c r="F5" s="8">
        <f>SUMIF(A:A,B5,G:G)</f>
        <v>12</v>
      </c>
      <c r="G5" s="10">
        <f>SUMIF(A:A,B5,H:H)</f>
        <v>8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14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1691.666667</v>
      </c>
      <c r="F7" s="20">
        <f>IFERROR((G5+R5)/F5,0)</f>
        <v>0.75</v>
      </c>
      <c r="G7" s="20">
        <f>IFERROR(H5/G5,0)</f>
        <v>0.375</v>
      </c>
      <c r="H7" s="19">
        <f>(C5/C7)</f>
        <v>317.1875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1.555555556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5075</v>
      </c>
      <c r="D8" s="36"/>
      <c r="E8" s="37">
        <f>SUMIFS(T:T,B:B,B8,D:D,"Y")</f>
        <v>5075</v>
      </c>
      <c r="F8" s="38">
        <f>SUMIF(B19:B1129,B8,G19:G1129)</f>
        <v>12</v>
      </c>
      <c r="G8" s="39">
        <f>SUMIF(B19:B1129,B8,H19:H1129)</f>
        <v>8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14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1691.666667</v>
      </c>
      <c r="F10" s="51">
        <f>IFERROR((G8+R8)/F8,0)</f>
        <v>0.75</v>
      </c>
      <c r="G10" s="51">
        <f>IFERROR(H8/G8,0)</f>
        <v>0.375</v>
      </c>
      <c r="H10" s="50">
        <f>(C8/C10)</f>
        <v>338.3333333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1.555555556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3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1.0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3.0</v>
      </c>
      <c r="H24" s="106">
        <v>4.0</v>
      </c>
      <c r="I24" s="106">
        <v>0.0</v>
      </c>
      <c r="J24" s="106">
        <v>0.0</v>
      </c>
      <c r="K24" s="106">
        <v>0.0</v>
      </c>
      <c r="L24" s="106">
        <v>1.0</v>
      </c>
      <c r="M24" s="106">
        <v>10.0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107">
        <v>0.0</v>
      </c>
      <c r="V24" s="66">
        <f t="shared" si="3"/>
        <v>1.666666667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107">
        <v>0.0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ref="U26:U28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4.0</v>
      </c>
      <c r="I28" s="106">
        <v>3.0</v>
      </c>
      <c r="J28" s="106">
        <v>1.0</v>
      </c>
      <c r="K28" s="106">
        <v>1.0</v>
      </c>
      <c r="L28" s="106">
        <v>0.0</v>
      </c>
      <c r="M28" s="106">
        <v>4.0</v>
      </c>
      <c r="N28" s="106">
        <v>1.0</v>
      </c>
      <c r="O28" s="106">
        <v>1.0</v>
      </c>
      <c r="P28" s="106">
        <v>0.0</v>
      </c>
      <c r="Q28" s="106">
        <v>0.0</v>
      </c>
      <c r="R28" s="106">
        <v>2.0</v>
      </c>
      <c r="S28" s="106">
        <v>2.0</v>
      </c>
      <c r="T28" s="106">
        <v>5075.0</v>
      </c>
      <c r="U28" s="66">
        <f t="shared" si="4"/>
        <v>0.75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107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ref="U30:U35" si="5">IFERROR(I30/H30,0)</f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5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5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5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5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6">IFERROR(I37/H37,0)</f>
        <v>0</v>
      </c>
      <c r="V37" s="66">
        <f t="shared" ref="V37:V53" si="7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6"/>
        <v>0</v>
      </c>
      <c r="V38" s="66">
        <f t="shared" si="7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6"/>
        <v>0</v>
      </c>
      <c r="V39" s="66">
        <f t="shared" si="7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6"/>
        <v>0</v>
      </c>
      <c r="V53" s="66">
        <f t="shared" si="7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2" t="s">
        <v>80</v>
      </c>
      <c r="B1" s="112" t="s">
        <v>81</v>
      </c>
      <c r="C1" s="112" t="s">
        <v>30</v>
      </c>
      <c r="D1" s="112" t="s">
        <v>82</v>
      </c>
      <c r="E1" s="112" t="s">
        <v>0</v>
      </c>
      <c r="F1" s="112" t="s">
        <v>83</v>
      </c>
      <c r="G1" s="112" t="s">
        <v>84</v>
      </c>
      <c r="H1" s="112" t="s">
        <v>85</v>
      </c>
      <c r="I1" s="112" t="s">
        <v>86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>
      <c r="A2" s="114" t="s">
        <v>87</v>
      </c>
      <c r="B2" s="114" t="s">
        <v>88</v>
      </c>
      <c r="C2" s="114" t="s">
        <v>89</v>
      </c>
      <c r="D2" s="115">
        <v>46161.0</v>
      </c>
      <c r="E2" s="114">
        <v>1054.56</v>
      </c>
      <c r="F2" s="114" t="s">
        <v>90</v>
      </c>
      <c r="G2" s="114" t="s">
        <v>91</v>
      </c>
      <c r="H2" s="114" t="s">
        <v>92</v>
      </c>
      <c r="I2" s="114" t="s">
        <v>93</v>
      </c>
    </row>
    <row r="3">
      <c r="A3" s="114" t="s">
        <v>94</v>
      </c>
      <c r="B3" s="114" t="s">
        <v>95</v>
      </c>
      <c r="C3" s="114" t="s">
        <v>96</v>
      </c>
      <c r="D3" s="115">
        <v>46160.0</v>
      </c>
      <c r="E3" s="114">
        <v>984.0</v>
      </c>
      <c r="F3" s="114" t="s">
        <v>90</v>
      </c>
      <c r="G3" s="114" t="s">
        <v>91</v>
      </c>
      <c r="H3" s="114" t="s">
        <v>97</v>
      </c>
      <c r="I3" s="114" t="s">
        <v>93</v>
      </c>
    </row>
    <row r="4">
      <c r="A4" s="114" t="s">
        <v>98</v>
      </c>
      <c r="B4" s="114" t="s">
        <v>95</v>
      </c>
      <c r="C4" s="114" t="s">
        <v>96</v>
      </c>
      <c r="D4" s="115">
        <v>46160.0</v>
      </c>
      <c r="E4" s="114">
        <v>678.84</v>
      </c>
      <c r="F4" s="114" t="s">
        <v>90</v>
      </c>
      <c r="G4" s="114" t="s">
        <v>91</v>
      </c>
      <c r="H4" s="114" t="s">
        <v>97</v>
      </c>
      <c r="I4" s="114" t="s">
        <v>93</v>
      </c>
    </row>
    <row r="5">
      <c r="A5" s="114" t="s">
        <v>99</v>
      </c>
      <c r="B5" s="114" t="s">
        <v>88</v>
      </c>
      <c r="C5" s="114" t="s">
        <v>89</v>
      </c>
      <c r="D5" s="115">
        <v>46162.0</v>
      </c>
      <c r="E5" s="114">
        <v>1367.04</v>
      </c>
      <c r="F5" s="114" t="s">
        <v>90</v>
      </c>
      <c r="G5" s="114" t="s">
        <v>91</v>
      </c>
      <c r="H5" s="114" t="s">
        <v>100</v>
      </c>
      <c r="I5" s="114" t="s">
        <v>93</v>
      </c>
    </row>
    <row r="6">
      <c r="A6" s="114" t="s">
        <v>101</v>
      </c>
      <c r="B6" s="114" t="s">
        <v>102</v>
      </c>
      <c r="C6" s="114" t="s">
        <v>96</v>
      </c>
      <c r="D6" s="115">
        <v>46166.0</v>
      </c>
      <c r="E6" s="114">
        <v>2064.48</v>
      </c>
      <c r="F6" s="114" t="s">
        <v>90</v>
      </c>
      <c r="G6" s="114" t="s">
        <v>91</v>
      </c>
      <c r="H6" s="114" t="s">
        <v>103</v>
      </c>
      <c r="I6" s="114" t="s">
        <v>93</v>
      </c>
    </row>
    <row r="7">
      <c r="A7" s="114" t="s">
        <v>104</v>
      </c>
      <c r="B7" s="114" t="s">
        <v>88</v>
      </c>
      <c r="C7" s="114" t="s">
        <v>89</v>
      </c>
      <c r="D7" s="115">
        <v>46165.0</v>
      </c>
      <c r="E7" s="114">
        <v>931.08</v>
      </c>
      <c r="F7" s="114" t="s">
        <v>105</v>
      </c>
      <c r="G7" s="114" t="s">
        <v>91</v>
      </c>
      <c r="H7" s="114" t="s">
        <v>106</v>
      </c>
      <c r="I7" s="114" t="s">
        <v>93</v>
      </c>
    </row>
  </sheetData>
  <drawing r:id="rId1"/>
</worksheet>
</file>