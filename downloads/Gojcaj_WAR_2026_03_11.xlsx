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<sst xmlns="http://schemas.openxmlformats.org/spreadsheetml/2006/main" count="5151" uniqueCount="155">
  <si>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</si>
  <si>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</si>
  <si>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</si>
  <si>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</si>
  <si>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</si>
  <si>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</si>
  <si>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</si>
  <si>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</si>
  <si>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</si>
  <si>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</si>
  <si>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</si>
  <si>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</si>
  <si>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</si>
  <si>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</si>
  <si>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</si>
  <si>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</si>
  <si>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</si>
  <si>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</si>
  <si>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</si>
  <si>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</si>
  <si>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</si>
  <si>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</si>
  <si>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</si>
  <si>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</si>
  <si>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</si>
  <si>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</si>
  <si>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</si>
  <si>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Jacob Brown</t>
  </si>
  <si>
    <t>Edward Leon</t>
  </si>
  <si>
    <t>Melissa Elam</t>
  </si>
  <si>
    <t>Timothy Noe</t>
  </si>
  <si>
    <t>Javier Sandoval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</si>
  <si>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</si>
  <si>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</si>
  <si>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</si>
  <si>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</si>
  <si>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</si>
  <si>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</si>
  <si>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</si>
  <si>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</si>
  <si>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</si>
  <si>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</si>
  <si>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</si>
  <si>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</si>
  <si>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</si>
  <si>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</si>
  <si>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</si>
  <si>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</si>
  <si>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</si>
  <si>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</si>
  <si>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</si>
  <si>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</si>
  <si>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</si>
  <si>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</si>
  <si>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Kristen Fox</t>
  </si>
  <si>
    <t>NC</t>
  </si>
  <si>
    <t>Marci Dyer</t>
  </si>
  <si>
    <t>Joylynn Harris</t>
  </si>
  <si>
    <t>CA</t>
  </si>
  <si>
    <t>TX</t>
  </si>
  <si>
    <t>Shafay Sutton</t>
  </si>
  <si>
    <t>Eddie Leon</t>
  </si>
  <si>
    <t>Rick Argote</t>
  </si>
  <si>
    <t>Julian Hyman</t>
  </si>
  <si>
    <t xml:space="preserve">Marcus Norton </t>
  </si>
  <si>
    <t>CO</t>
  </si>
  <si>
    <t>Marcus Norton</t>
  </si>
  <si>
    <t>Kaliyah Pyles</t>
  </si>
  <si>
    <t>M'Ellen Jackson</t>
  </si>
  <si>
    <t>Ethan Lasley</t>
  </si>
  <si>
    <t>MS</t>
  </si>
  <si>
    <t>Ronald Montoya</t>
  </si>
  <si>
    <t>Nathan Fast</t>
  </si>
  <si>
    <t>Danielle Loux</t>
  </si>
  <si>
    <t>MO</t>
  </si>
  <si>
    <t>Frances Gonzalez</t>
  </si>
  <si>
    <t>Chistopher Jacko</t>
  </si>
  <si>
    <t>Lacie Herring</t>
  </si>
  <si>
    <t>TN</t>
  </si>
  <si>
    <t>Preston Opperman</t>
  </si>
  <si>
    <t>Bilal Abdullah</t>
  </si>
  <si>
    <t>Kain White-Conley</t>
  </si>
  <si>
    <t>NH</t>
  </si>
  <si>
    <t>Andre Alire</t>
  </si>
  <si>
    <t>Kelvin Claney</t>
  </si>
  <si>
    <t>Jacob Bandyk</t>
  </si>
  <si>
    <t>ID</t>
  </si>
  <si>
    <t>Alayna Halverson</t>
  </si>
  <si>
    <t>NY</t>
  </si>
  <si>
    <t>Dylan Alexander</t>
  </si>
  <si>
    <t>Kisha Darby</t>
  </si>
  <si>
    <t>Scott Harrison</t>
  </si>
  <si>
    <t>Michael Dolin</t>
  </si>
  <si>
    <t>Toel Jefferson</t>
  </si>
  <si>
    <t>Zev Bienenstock</t>
  </si>
  <si>
    <t>Julia Rodriguez</t>
  </si>
  <si>
    <t>Marie Cano</t>
  </si>
  <si>
    <t>Jordan McFarlane</t>
  </si>
  <si>
    <t>SC</t>
  </si>
  <si>
    <t>William Benline</t>
  </si>
  <si>
    <t>Ken Hermann</t>
  </si>
  <si>
    <t>Annie Ransom</t>
  </si>
  <si>
    <t>OR</t>
  </si>
  <si>
    <t>Caroline Sanazaro</t>
  </si>
  <si>
    <t>O'Neil Mbakwe</t>
  </si>
  <si>
    <t>Hillary Tucker</t>
  </si>
  <si>
    <t>Alexa Legg</t>
  </si>
  <si>
    <t>IN</t>
  </si>
  <si>
    <t>Nataly Vargas</t>
  </si>
  <si>
    <t>Berlin Iwai</t>
  </si>
  <si>
    <t>Kendall Stowers</t>
  </si>
  <si>
    <t>Crystal Mekdarasack</t>
  </si>
  <si>
    <t>Brad Word</t>
  </si>
  <si>
    <t>Ivander Ambriz</t>
  </si>
  <si>
    <t>Michael Boyd</t>
  </si>
  <si>
    <t>Wendy Huber</t>
  </si>
  <si>
    <t>FL</t>
  </si>
  <si>
    <t>Alissa Charles</t>
  </si>
  <si>
    <t>VA</t>
  </si>
  <si>
    <t>Tasheka Hill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</si>
  <si>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</si>
  <si>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</si>
  <si>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</si>
  <si>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</si>
  <si>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</si>
  <si>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</si>
  <si>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</si>
  <si>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</si>
  <si>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</si>
  <si>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</si>
  <si>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</si>
  <si>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JERRY AND TRINA FRANKLIN</t>
  </si>
  <si>
    <t>JACOB BROWN</t>
  </si>
  <si>
    <t>GOJCAJ</t>
  </si>
  <si>
    <t>N/A</t>
  </si>
  <si>
    <t>NO</t>
  </si>
  <si>
    <t>CANCEL PER AGENT NOTE</t>
  </si>
  <si>
    <t>JAMES BEVERLY</t>
  </si>
  <si>
    <t>KALIYAH CALHOUN-PYLES</t>
  </si>
  <si>
    <t>YES</t>
  </si>
  <si>
    <t>REWRITE TO REDUCE PREM.</t>
  </si>
  <si>
    <t>JENNIFER HART</t>
  </si>
  <si>
    <t>KENNETH HERMANN</t>
  </si>
  <si>
    <t>FULFER</t>
  </si>
  <si>
    <t>-</t>
  </si>
  <si>
    <t>NEEDS NEW BANK INFO BUT CLIENT HAS BEEN MIA. CANCELLING IN MEANTIME, IF THEY REACH OUT, AGENT WILL REWRITE.</t>
  </si>
  <si>
    <t>KHARY BOWIE</t>
  </si>
  <si>
    <t>JAVIER SANDOVAL</t>
  </si>
  <si>
    <t>UNAFFORDABLE.</t>
  </si>
  <si>
    <t>KITTY AND JOHN EDNIE</t>
  </si>
  <si>
    <t>STEVEN WARD</t>
  </si>
  <si>
    <t>TYLER</t>
  </si>
  <si>
    <t>EXPECTED PREMIUM TO COME OUT IN APRIL, CANNOT HAVE IT DRAFTED IN MARCH. AGENT WILL HELP IN APRIL.</t>
  </si>
  <si>
    <t>TERRY TROUP</t>
  </si>
  <si>
    <t>UNREACHABLE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</si>
</sst>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2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5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8" fillId="4" fontId="2" numFmtId="0" xfId="0" applyAlignment="1" applyBorder="1" applyFont="1">
      <alignment shrinkToFit="0" vertical="center" wrapText="1"/>
    </xf>
    <xf borderId="15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6" fillId="4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7" fillId="0" fontId="7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5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readingOrder="0" shrinkToFit="0" vertical="center" wrapText="1"/>
    </xf>
    <xf borderId="15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shrinkToFit="0" vertical="bottom" wrapText="1"/>
    </xf>
    <xf borderId="20" fillId="3" fontId="12" numFmtId="0" xfId="0" applyAlignment="1" applyBorder="1" applyFont="1">
      <alignment vertical="bottom"/>
    </xf>
    <xf borderId="20" fillId="3" fontId="13" numFmtId="0" xfId="0" applyAlignment="1" applyBorder="1" applyFont="1">
      <alignment shrinkToFit="0" vertical="bottom" wrapText="1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4" numFmtId="0" xfId="0" applyAlignment="1" applyBorder="1" applyFont="1">
      <alignment readingOrder="0" vertical="bottom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" numFmtId="0" xfId="0" applyAlignment="1" applyBorder="1" applyFont="1">
      <alignment vertical="bottom"/>
    </xf>
    <xf borderId="7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20" fillId="4" fontId="14" numFmtId="0" xfId="0" applyAlignment="1" applyBorder="1" applyFont="1">
      <alignment readingOrder="0" vertical="bottom"/>
    </xf>
    <xf borderId="7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" numFmtId="0" xfId="0" applyAlignment="1" applyBorder="1" applyFont="1">
      <alignment vertical="bottom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15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15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0" fillId="0" fontId="12" numFmtId="0" xfId="0" applyAlignment="1" applyBorder="1" applyFont="1">
      <alignment shrinkToFit="0" vertical="bottom" wrapText="1"/>
    </xf>
    <xf borderId="21" fillId="5" fontId="12" numFmtId="0" xfId="0" applyAlignment="1" applyBorder="1" applyFont="1">
      <alignment readingOrder="0" shrinkToFit="0" vertical="bottom" wrapText="1"/>
    </xf>
    <xf borderId="20" fillId="5" fontId="14" numFmtId="0" xfId="0" applyAlignment="1" applyBorder="1" applyFont="1">
      <alignment vertical="bottom"/>
    </xf>
    <xf borderId="20" fillId="5" fontId="12" numFmtId="0" xfId="0" applyAlignment="1" applyBorder="1" applyFont="1">
      <alignment shrinkToFit="0" vertical="bottom" wrapText="1"/>
    </xf>
    <xf borderId="7" fillId="4" fontId="12" numFmtId="0" xfId="0" applyAlignment="1" applyBorder="1" applyFont="1">
      <alignment shrinkToFit="0" vertical="bottom" wrapText="1"/>
    </xf>
    <xf borderId="15" fillId="4" fontId="14" numFmtId="0" xfId="0" applyAlignment="1" applyBorder="1" applyFont="1">
      <alignment vertical="bottom"/>
    </xf>
    <xf borderId="15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7" fillId="0" fontId="12" numFmtId="0" xfId="0" applyAlignment="1" applyBorder="1" applyFont="1">
      <alignment shrinkToFit="0" vertical="bottom" wrapText="1"/>
    </xf>
    <xf borderId="15" fillId="0" fontId="14" numFmtId="0" xfId="0" applyAlignment="1" applyBorder="1" applyFont="1">
      <alignment vertical="bottom"/>
    </xf>
    <xf borderId="15" fillId="0" fontId="12" numFmtId="0" xfId="0" applyAlignment="1" applyBorder="1" applyFont="1">
      <alignment readingOrder="0" shrinkToFit="0" vertical="bottom" wrapText="1"/>
    </xf>
    <xf borderId="7" fillId="0" fontId="11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1" numFmtId="0" xfId="0" applyAlignment="1" applyBorder="1" applyFont="1">
      <alignment readingOrder="0" shrinkToFit="0" vertical="bottom" wrapText="1"/>
    </xf>
    <xf borderId="21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shrinkToFit="0" vertical="bottom" wrapText="1"/>
    </xf>
    <xf borderId="20" fillId="0" fontId="15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5" fontId="1" numFmtId="0" xfId="0" applyAlignment="1" applyBorder="1" applyFont="1">
      <alignment vertical="bottom"/>
    </xf>
    <xf borderId="20" fillId="4" fontId="12" numFmtId="0" xfId="0" applyAlignment="1" applyBorder="1" applyFont="1">
      <alignment shrinkToFit="0" vertical="center" wrapText="1"/>
    </xf>
    <xf borderId="20" fillId="5" fontId="16" numFmtId="0" xfId="0" applyAlignment="1" applyBorder="1" applyFont="1">
      <alignment readingOrder="0" vertical="bottom"/>
    </xf>
    <xf borderId="20" fillId="5" fontId="17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0" fontId="18" numFmtId="0" xfId="0" applyAlignment="1" applyBorder="1" applyFont="1">
      <alignment readingOrder="0" vertical="bottom"/>
    </xf>
    <xf borderId="20" fillId="0" fontId="17" numFmtId="0" xfId="0" applyAlignment="1" applyBorder="1" applyFont="1">
      <alignment vertical="bottom"/>
    </xf>
    <xf borderId="20" fillId="4" fontId="16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4" fontId="19" numFmtId="0" xfId="0" applyAlignment="1" applyBorder="1" applyFont="1">
      <alignment readingOrder="0" vertical="bottom"/>
    </xf>
    <xf borderId="20" fillId="4" fontId="18" numFmtId="0" xfId="0" applyAlignment="1" applyBorder="1" applyFont="1">
      <alignment readingOrder="0" vertical="bottom"/>
    </xf>
    <xf borderId="20" fillId="4" fontId="17" numFmtId="0" xfId="0" applyAlignment="1" applyBorder="1" applyFont="1">
      <alignment vertical="bottom"/>
    </xf>
    <xf borderId="20" fillId="5" fontId="19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0" numFmtId="0" xfId="0" applyAlignment="1" applyFont="1">
      <alignment horizontal="center" readingOrder="0" vertical="center"/>
    </xf>
    <xf borderId="0" fillId="2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0" fontId="21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55124.44</v>
      </c>
      <c r="D2" s="10"/>
      <c r="E2" s="11">
        <f t="shared" ref="E2:R2" si="1">SUM(E5,E20,E23,E26,E29,E32)</f>
        <v>39695.44</v>
      </c>
      <c r="F2" s="11">
        <f t="shared" si="1"/>
        <v>167</v>
      </c>
      <c r="G2" s="11">
        <f t="shared" si="1"/>
        <v>97</v>
      </c>
      <c r="H2" s="11">
        <f t="shared" si="1"/>
        <v>36</v>
      </c>
      <c r="I2" s="11">
        <f t="shared" si="1"/>
        <v>20</v>
      </c>
      <c r="J2" s="11">
        <f t="shared" si="1"/>
        <v>9</v>
      </c>
      <c r="K2" s="11">
        <f t="shared" si="1"/>
        <v>26</v>
      </c>
      <c r="L2" s="11">
        <f t="shared" si="1"/>
        <v>9</v>
      </c>
      <c r="M2" s="11" t="str">
        <f t="shared" si="1"/>
        <v>#REF!</v>
      </c>
      <c r="N2" s="11">
        <f t="shared" si="1"/>
        <v>48</v>
      </c>
      <c r="O2" s="11">
        <f t="shared" si="1"/>
        <v>20</v>
      </c>
      <c r="P2" s="11">
        <f t="shared" si="1"/>
        <v>31</v>
      </c>
      <c r="Q2" s="11">
        <f t="shared" si="1"/>
        <v>52</v>
      </c>
      <c r="R2" s="11">
        <f t="shared" si="1"/>
        <v>11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1531.234444</v>
      </c>
      <c r="F4" s="24">
        <f>IFERROR((G2+R2)/F2,0)</f>
        <v>0.6467065868</v>
      </c>
      <c r="G4" s="24">
        <f>IFERROR(H2/G2,0)</f>
        <v>0.3711340206</v>
      </c>
      <c r="H4" s="23">
        <f>(C2/C4)</f>
        <v>874.9911111</v>
      </c>
      <c r="I4" s="25"/>
      <c r="J4" s="24">
        <f>IFERROR(J2/I2,0)</f>
        <v>0.45</v>
      </c>
      <c r="K4" s="25"/>
      <c r="L4" s="24">
        <f>IFERROR(L2/K2,0)</f>
        <v>0.3461538462</v>
      </c>
      <c r="M4" s="26">
        <f>IFERROR(M2/G2,0)</f>
        <v>0</v>
      </c>
      <c r="N4" s="25"/>
      <c r="O4" s="24">
        <f>IFERROR(O2/N2,0)</f>
        <v>0.4166666667</v>
      </c>
      <c r="P4" s="26"/>
      <c r="Q4" s="24">
        <f>IFERROR(Q2/P2,0)</f>
        <v>1.677419355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40104</v>
      </c>
      <c r="D5" s="31"/>
      <c r="E5" s="32">
        <f>SUMIFS(T:T,A:A,B5,D:D,"Y")</f>
        <v>31695</v>
      </c>
      <c r="F5" s="11">
        <f>SUMIF(A:A,B5,G:G)</f>
        <v>139</v>
      </c>
      <c r="G5" s="11">
        <f>SUMIF(A:A,B5,H:H)</f>
        <v>73</v>
      </c>
      <c r="H5" s="11">
        <f>SUMIF(A:A,B5,I:I)</f>
        <v>26</v>
      </c>
      <c r="I5" s="11">
        <f>SUMIF(A:A,B5,P:P)</f>
        <v>20</v>
      </c>
      <c r="J5" s="11">
        <f>SUMIF(A:A,B5,Q:Q)</f>
        <v>9</v>
      </c>
      <c r="K5" s="11">
        <f>SUMIF(A:A,B5,R:R)</f>
        <v>21</v>
      </c>
      <c r="L5" s="11">
        <f>SUMIF(A:A,B5,S:S)</f>
        <v>6</v>
      </c>
      <c r="M5" s="11">
        <f>SUMIF(A:A,B5,M:M)</f>
        <v>221</v>
      </c>
      <c r="N5" s="11">
        <f>SUMIF(A:A,B5,N:N)</f>
        <v>28</v>
      </c>
      <c r="O5" s="11">
        <f>SUMIF(A:A,B5,O:O)</f>
        <v>11</v>
      </c>
      <c r="P5" s="11">
        <f>SUMIF(A:A,B5,J:J)</f>
        <v>24</v>
      </c>
      <c r="Q5" s="11">
        <f>SUMIF(A:A,B5,K:K)</f>
        <v>7</v>
      </c>
      <c r="R5" s="33">
        <f>SUMIF(A:A,B5,L:L)</f>
        <v>11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1542.461538</v>
      </c>
      <c r="F7" s="41">
        <f>IFERROR((G5+R5)/F5,0)</f>
        <v>0.6043165468</v>
      </c>
      <c r="G7" s="41">
        <f>IFERROR(H5/G5,0)</f>
        <v>0.3561643836</v>
      </c>
      <c r="H7" s="40">
        <f>(C5/C7)</f>
        <v>1671</v>
      </c>
      <c r="I7" s="42"/>
      <c r="J7" s="41">
        <f>IFERROR(J5/I5,0)</f>
        <v>0.45</v>
      </c>
      <c r="K7" s="42"/>
      <c r="L7" s="41">
        <f>IFERROR(L5/K5,0)</f>
        <v>0.2857142857</v>
      </c>
      <c r="M7" s="43">
        <f>IFERROR(M5/SUM(R5+G5,0),"")</f>
        <v>2.630952381</v>
      </c>
      <c r="N7" s="42"/>
      <c r="O7" s="41">
        <f>IFERROR(O5/N5,0)</f>
        <v>0.3928571429</v>
      </c>
      <c r="P7" s="43"/>
      <c r="Q7" s="41">
        <f>IFERROR(Q5/P5,0)</f>
        <v>0.2916666667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1543</v>
      </c>
      <c r="D8" s="47"/>
      <c r="E8" s="48">
        <f>SUMIFS(T:T,B:B,B8,D:D,"Y")</f>
        <v>0</v>
      </c>
      <c r="F8" s="49">
        <f>SUMIF(B37:B1091,B8,G37:G1091)</f>
        <v>7</v>
      </c>
      <c r="G8" s="50">
        <f>SUMIF(B37:B1091,B8,H37:H1091)</f>
        <v>9</v>
      </c>
      <c r="H8" s="50">
        <f>SUMIF(B37:B1091,B8,I37:I1091)</f>
        <v>2</v>
      </c>
      <c r="I8" s="50">
        <f>SUMIF(B37:B1091,B8,P37:P1091)</f>
        <v>0</v>
      </c>
      <c r="J8" s="50">
        <f>SUMIF(B37:B1091,B8,Q37:Q1091)</f>
        <v>0</v>
      </c>
      <c r="K8" s="50">
        <f>SUMIF(B37:B1091,B8,R37:R1091)</f>
        <v>2</v>
      </c>
      <c r="L8" s="50">
        <f>SUMIF(B37:B1091,B8,S37:S1091)</f>
        <v>0</v>
      </c>
      <c r="M8" s="50">
        <f>SUMIF(B37:B1091,B8,M37:M1091)</f>
        <v>21</v>
      </c>
      <c r="N8" s="50">
        <f>SUMIF(B37:B1091,B8,N37:N1091)</f>
        <v>8</v>
      </c>
      <c r="O8" s="50">
        <f>SUMIF(B37:B1091,B8,O37:O1091)</f>
        <v>2</v>
      </c>
      <c r="P8" s="50">
        <f>SUMIF(B37:B1091,B8,J37:J1091)</f>
        <v>9</v>
      </c>
      <c r="Q8" s="50">
        <f>SUMIF(B37:B1091,B8,K37:K1091)</f>
        <v>2</v>
      </c>
      <c r="R8" s="51">
        <f>SUMIF(B37:B1091,B8,L37:L1091)</f>
        <v>4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COUNTIFS(B37:B1091,B8)</f>
        <v>5</v>
      </c>
      <c r="D10" s="56"/>
      <c r="E10" s="23">
        <f>IFERROR(C8/H8,0)</f>
        <v>771.5</v>
      </c>
      <c r="F10" s="24">
        <f>IFERROR((G8+R8)/F8,0)</f>
        <v>1.857142857</v>
      </c>
      <c r="G10" s="24">
        <f>IFERROR(H8/G8,0)</f>
        <v>0.2222222222</v>
      </c>
      <c r="H10" s="23">
        <f>(C8/C10)</f>
        <v>308.6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1.615384615</v>
      </c>
      <c r="N10" s="25"/>
      <c r="O10" s="24">
        <f>IFERROR(O8/N8,0)</f>
        <v>0.25</v>
      </c>
      <c r="P10" s="26"/>
      <c r="Q10" s="24">
        <f>IFERROR(Q8/P8,0)</f>
        <v>0.2222222222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8970</v>
      </c>
      <c r="D11" s="60"/>
      <c r="E11" s="48">
        <f>SUMIFS(T:T,B:B,B11,D:D,"Y")</f>
        <v>3543</v>
      </c>
      <c r="F11" s="49">
        <f>SUMIF(B39:B1091,B11,G39:G1091)</f>
        <v>43</v>
      </c>
      <c r="G11" s="50">
        <f>SUMIF(B39:B1091,B11,H39:H1091)</f>
        <v>26</v>
      </c>
      <c r="H11" s="50">
        <f>SUMIF(B39:B1091,B11,I39:I1091)</f>
        <v>5</v>
      </c>
      <c r="I11" s="50">
        <f>SUMIF(B39:B1091,B11,P39:P1091)</f>
        <v>0</v>
      </c>
      <c r="J11" s="50">
        <f>SUMIF(B39:B1091,B11,Q39:Q1091)</f>
        <v>0</v>
      </c>
      <c r="K11" s="50">
        <f>SUMIF(B39:B1091,B11,R39:R1091)</f>
        <v>12</v>
      </c>
      <c r="L11" s="50">
        <f>SUMIF(B39:B1091,B11,S39:S1091)</f>
        <v>3</v>
      </c>
      <c r="M11" s="50">
        <f>SUMIF(B39:B1091,B11,M39:M1091)</f>
        <v>119</v>
      </c>
      <c r="N11" s="50">
        <f>SUMIF(B39:B1091,B11,N39:N1091)</f>
        <v>8</v>
      </c>
      <c r="O11" s="50">
        <f>SUMIF(B39:B1091,B11,O39:O1091)</f>
        <v>2</v>
      </c>
      <c r="P11" s="50">
        <f>SUMIF(B39:B1091,B11,J39:J1091)</f>
        <v>10</v>
      </c>
      <c r="Q11" s="50">
        <f>SUMIF(B39:B1091,B11,K39:K1091)</f>
        <v>1</v>
      </c>
      <c r="R11" s="51">
        <f>SUMIF(B39:B1091,B11,L39:L1091)</f>
        <v>4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COUNTIFS(B39:B1091,B11)</f>
        <v>7</v>
      </c>
      <c r="D13" s="56"/>
      <c r="E13" s="23">
        <f>IFERROR(C11/H11,0)</f>
        <v>1794</v>
      </c>
      <c r="F13" s="24">
        <f>IFERROR((G11+R11)/F11,0)</f>
        <v>0.6976744186</v>
      </c>
      <c r="G13" s="24">
        <f>IFERROR(H11/G11,0)</f>
        <v>0.1923076923</v>
      </c>
      <c r="H13" s="23">
        <f>(C11/C13)</f>
        <v>1281.428571</v>
      </c>
      <c r="I13" s="25"/>
      <c r="J13" s="24">
        <f>IFERROR(J11/I11,0)</f>
        <v>0</v>
      </c>
      <c r="K13" s="25"/>
      <c r="L13" s="24">
        <f>IFERROR(L11/K11,0)</f>
        <v>0.25</v>
      </c>
      <c r="M13" s="26">
        <f>IFERROR(M11/SUM(R11+G11,0),"")</f>
        <v>3.966666667</v>
      </c>
      <c r="N13" s="25"/>
      <c r="O13" s="24">
        <f>IFERROR(O11/N11,0)</f>
        <v>0.25</v>
      </c>
      <c r="P13" s="26"/>
      <c r="Q13" s="24">
        <f>IFERROR(Q11/P11,0)</f>
        <v>0.1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5204</v>
      </c>
      <c r="D14" s="60"/>
      <c r="E14" s="48">
        <f>SUMIFS(T:T,B:B,B14,D:D,"Y")</f>
        <v>5204</v>
      </c>
      <c r="F14" s="49">
        <f>SUMIF(B39:B1091,B14,G39:G1091)</f>
        <v>25</v>
      </c>
      <c r="G14" s="50">
        <f>SUMIF(B39:B1091,B14,H39:H1091)</f>
        <v>9</v>
      </c>
      <c r="H14" s="50">
        <f>SUMIF(B39:B1091,B14,I39:I1091)</f>
        <v>2</v>
      </c>
      <c r="I14" s="50">
        <f>SUMIF(B39:B1091,B14,P39:P1091)</f>
        <v>0</v>
      </c>
      <c r="J14" s="50">
        <f>SUMIF(B39:B1091,B14,Q39:Q1091)</f>
        <v>0</v>
      </c>
      <c r="K14" s="50">
        <f>SUMIF(B39:B1091,B14,R39:R1091)</f>
        <v>6</v>
      </c>
      <c r="L14" s="50">
        <f>SUMIF(B39:B1091,B14,S39:S1091)</f>
        <v>2</v>
      </c>
      <c r="M14" s="50">
        <f>SUMIF(B39:B1091,B14,M39:M1091)</f>
        <v>29</v>
      </c>
      <c r="N14" s="50">
        <f>SUMIF(B39:B1091,B14,N39:N1091)</f>
        <v>3</v>
      </c>
      <c r="O14" s="50">
        <f>SUMIF(B39:B1091,B14,O39:O1091)</f>
        <v>0</v>
      </c>
      <c r="P14" s="50">
        <f>SUMIF(B39:B1091,B14,J39:J1091)</f>
        <v>1</v>
      </c>
      <c r="Q14" s="50">
        <f>SUMIF(B39:B1091,B14,K39:K1091)</f>
        <v>1</v>
      </c>
      <c r="R14" s="51">
        <f>SUMIF(B39:B1091,B14,L39:L1091)</f>
        <v>2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COUNTIFS(B39:B1091,B14)</f>
        <v>7</v>
      </c>
      <c r="D16" s="56"/>
      <c r="E16" s="23">
        <f>IFERROR(C14/H14,0)</f>
        <v>2602</v>
      </c>
      <c r="F16" s="24">
        <f>IFERROR((G14+R14)/F14,0)</f>
        <v>0.44</v>
      </c>
      <c r="G16" s="24">
        <f>IFERROR(H14/G14,0)</f>
        <v>0.2222222222</v>
      </c>
      <c r="H16" s="23">
        <f>(C14/C16)</f>
        <v>743.4285714</v>
      </c>
      <c r="I16" s="25"/>
      <c r="J16" s="24">
        <f>IFERROR(J14/I14,0)</f>
        <v>0</v>
      </c>
      <c r="K16" s="25"/>
      <c r="L16" s="24">
        <f>IFERROR(L14/K14,0)</f>
        <v>0.3333333333</v>
      </c>
      <c r="M16" s="26">
        <f>IFERROR(M14/SUM(R14+G14,0),"")</f>
        <v>2.636363636</v>
      </c>
      <c r="N16" s="25"/>
      <c r="O16" s="24">
        <f>IFERROR(O14/N14,0)</f>
        <v>0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24387</v>
      </c>
      <c r="D17" s="60"/>
      <c r="E17" s="48">
        <f>SUMIFS(T:T,B:B,B17,D:D,"Y")</f>
        <v>22948</v>
      </c>
      <c r="F17" s="49">
        <f>SUMIF(B44:B1091,B17,G44:G1091)</f>
        <v>64</v>
      </c>
      <c r="G17" s="50">
        <f>SUMIF(B44:B1091,B17,H44:H1091)</f>
        <v>29</v>
      </c>
      <c r="H17" s="50">
        <f>SUMIF(B44:B1091,B17,I44:I1091)</f>
        <v>17</v>
      </c>
      <c r="I17" s="50">
        <f>SUMIF(B44:B1091,B17,P44:P1091)</f>
        <v>20</v>
      </c>
      <c r="J17" s="50">
        <f>SUMIF(B44:B1091,B17,Q44:Q1091)</f>
        <v>9</v>
      </c>
      <c r="K17" s="50">
        <f>SUMIF(B44:B1091,B17,R44:R1091)</f>
        <v>1</v>
      </c>
      <c r="L17" s="50">
        <f>SUMIF(B44:B1091,B17,S44:S1091)</f>
        <v>1</v>
      </c>
      <c r="M17" s="50">
        <f>SUMIF(B44:B1091,B17,M44:M1091)</f>
        <v>52</v>
      </c>
      <c r="N17" s="50">
        <f>SUMIF(B44:B1091,B17,N44:N1091)</f>
        <v>9</v>
      </c>
      <c r="O17" s="50">
        <f>SUMIF(B44:B1091,B17,O44:O1091)</f>
        <v>7</v>
      </c>
      <c r="P17" s="50">
        <f>SUMIF(B44:B1091,B17,J44:J1091)</f>
        <v>4</v>
      </c>
      <c r="Q17" s="50">
        <f>SUMIF(B44:B1091,B17,K44:K1091)</f>
        <v>3</v>
      </c>
      <c r="R17" s="51">
        <f>SUMIF(B44:B1091,B17,L44:L1091)</f>
        <v>1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COUNTIFS(B44:B1091,B17)</f>
        <v>4</v>
      </c>
      <c r="D19" s="56"/>
      <c r="E19" s="23">
        <f>IFERROR(C17/H17,0)</f>
        <v>1434.529412</v>
      </c>
      <c r="F19" s="24">
        <f>IFERROR((G17+R17)/F17,0)</f>
        <v>0.46875</v>
      </c>
      <c r="G19" s="24">
        <f>IFERROR(H17/G17,0)</f>
        <v>0.5862068966</v>
      </c>
      <c r="H19" s="23">
        <f>(C17/C19)</f>
        <v>6096.75</v>
      </c>
      <c r="I19" s="25"/>
      <c r="J19" s="24">
        <f>IFERROR(J17/I17,0)</f>
        <v>0.45</v>
      </c>
      <c r="K19" s="25"/>
      <c r="L19" s="24">
        <f>IFERROR(L17/K17,0)</f>
        <v>1</v>
      </c>
      <c r="M19" s="26">
        <f>IFERROR(M17/SUM(R17+G17,0),"")</f>
        <v>1.733333333</v>
      </c>
      <c r="N19" s="25"/>
      <c r="O19" s="24">
        <f>IFERROR(O17/N17,0)</f>
        <v>0.7777777778</v>
      </c>
      <c r="P19" s="26"/>
      <c r="Q19" s="24">
        <f>IFERROR(Q17/P17,0)</f>
        <v>0.75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8000.44</v>
      </c>
      <c r="D26" s="31"/>
      <c r="E26" s="64">
        <f>SUMIFS(T:T,A:A,B26,D:D,"Y")</f>
        <v>8000.44</v>
      </c>
      <c r="F26" s="9">
        <f>SUMIF(A:A,B26,G:G)</f>
        <v>5</v>
      </c>
      <c r="G26" s="11">
        <f>SUMIF(A:A,B26,H:H)</f>
        <v>4</v>
      </c>
      <c r="H26" s="11">
        <f>SUMIF(A:A,B26,I:I)</f>
        <v>5</v>
      </c>
      <c r="I26" s="11">
        <f>SUMIF(A:A,B26,P:P)</f>
        <v>0</v>
      </c>
      <c r="J26" s="11">
        <f>SUMIF(A:A,B26,Q:Q)</f>
        <v>0</v>
      </c>
      <c r="K26" s="11">
        <f>SUMIF(A:A,B26,R:R)</f>
        <v>2</v>
      </c>
      <c r="L26" s="11">
        <f>SUMIF(A:A,B26,S:S)</f>
        <v>2</v>
      </c>
      <c r="M26" s="11">
        <f>SUMIF(A:A,B26,M:M)</f>
        <v>22</v>
      </c>
      <c r="N26" s="11">
        <f>SUMIF(A:A,B26,N:N)</f>
        <v>4</v>
      </c>
      <c r="O26" s="11">
        <f>SUMIF(A:A,B26,O:O)</f>
        <v>5</v>
      </c>
      <c r="P26" s="11">
        <f>SUMIF(A:A,B26,J:J)</f>
        <v>2</v>
      </c>
      <c r="Q26" s="11">
        <f>SUMIF(A:A,B26,K:K)</f>
        <v>2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1600.088</v>
      </c>
      <c r="F28" s="24">
        <f>IFERROR((G26+R26)/F26,0)</f>
        <v>0.8</v>
      </c>
      <c r="G28" s="24">
        <f>IFERROR(H26/G26,0)</f>
        <v>1.25</v>
      </c>
      <c r="H28" s="23">
        <f>(C26/C28)</f>
        <v>1600.088</v>
      </c>
      <c r="I28" s="25"/>
      <c r="J28" s="24">
        <f>IFERROR(J26/I26,0)</f>
        <v>0</v>
      </c>
      <c r="K28" s="25"/>
      <c r="L28" s="24">
        <f>IFERROR(L26/K26,0)</f>
        <v>1</v>
      </c>
      <c r="M28" s="26">
        <f>IFERROR(M26/SUM(R26+G26,0),"")</f>
        <v>5.5</v>
      </c>
      <c r="N28" s="25"/>
      <c r="O28" s="24">
        <f>IFERROR(O26/N26,0)</f>
        <v>1.25</v>
      </c>
      <c r="P28" s="26"/>
      <c r="Q28" s="24">
        <f>IFERROR(Q26/P26,0)</f>
        <v>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7020</v>
      </c>
      <c r="D29" s="68"/>
      <c r="E29" s="69">
        <f>SUMIFS(T:T,A:A,B29,D:D,"Y")</f>
        <v>0</v>
      </c>
      <c r="F29" s="70">
        <f>SUMIF(A:A,B29,G:G)</f>
        <v>23</v>
      </c>
      <c r="G29" s="71">
        <f>SUMIF(A:A,B29,H:H)</f>
        <v>20</v>
      </c>
      <c r="H29" s="71">
        <f>SUMIF(A:A,B29,I:I)</f>
        <v>5</v>
      </c>
      <c r="I29" s="71">
        <f>SUMIF(A:A,B29,P:P)</f>
        <v>0</v>
      </c>
      <c r="J29" s="71">
        <f>SUMIF(A:A,B29,Q:Q)</f>
        <v>0</v>
      </c>
      <c r="K29" s="71">
        <f>SUMIF(A:A,B29,R:R)</f>
        <v>3</v>
      </c>
      <c r="L29" s="71">
        <f>SUMIF(A:A,B29,S:S)</f>
        <v>1</v>
      </c>
      <c r="M29" s="71" t="str">
        <f>SUMIF(A:A,B29,M:M)</f>
        <v>#REF!</v>
      </c>
      <c r="N29" s="71">
        <f>SUMIF(A:A,B29,N:N)</f>
        <v>16</v>
      </c>
      <c r="O29" s="71">
        <f>SUMIF(A:A,B29,O:O)</f>
        <v>4</v>
      </c>
      <c r="P29" s="71">
        <f>SUMIF(A:A,B29,J:J)</f>
        <v>5</v>
      </c>
      <c r="Q29" s="71">
        <f>SUMIF(A:A,B29,K:K)</f>
        <v>43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1404</v>
      </c>
      <c r="F31" s="82">
        <f>IFERROR((G29+R29)/F29,0)</f>
        <v>0.8695652174</v>
      </c>
      <c r="G31" s="82">
        <f>IFERROR(H29/G29,0)</f>
        <v>0.25</v>
      </c>
      <c r="H31" s="81">
        <f>(C29/C31)</f>
        <v>412.9411765</v>
      </c>
      <c r="I31" s="83"/>
      <c r="J31" s="82">
        <f>IFERROR(J29/I29,0)</f>
        <v>0</v>
      </c>
      <c r="K31" s="83"/>
      <c r="L31" s="82">
        <f>IFERROR(L29/K29,0)</f>
        <v>0.3333333333</v>
      </c>
      <c r="M31" s="84" t="str">
        <f>IFERROR(M29/SUM(R29+G29,0),"")</f>
        <v/>
      </c>
      <c r="N31" s="83"/>
      <c r="O31" s="82">
        <f>IFERROR(O29/N29,0)</f>
        <v>0.25</v>
      </c>
      <c r="P31" s="84"/>
      <c r="Q31" s="82">
        <f>IFERROR(Q29/P29,0)</f>
        <v>8.6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0</v>
      </c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>
        <f>('Thurs (2)'!G39+Thurs!G39+'Tues '!G39+Wed!G39+Fri!G39+'Mon '!G39+'Wed (2)'!G39+Sun!G39+Sat!G39)</f>
        <v>5</v>
      </c>
      <c r="H39" s="103">
        <f>('Thurs (2)'!H39+Thurs!H39+'Tues '!H39+Wed!H39+Fri!H39+'Mon '!H39+'Wed (2)'!H39+Sun!H39+Sat!H39)</f>
        <v>3</v>
      </c>
      <c r="I39" s="103">
        <f>('Thurs (2)'!I39+Thurs!I39+'Tues '!I39+Wed!I39+Fri!I39+'Mon '!I39+'Wed (2)'!I39+Sun!I39+Sat!I39)</f>
        <v>0</v>
      </c>
      <c r="J39" s="103">
        <f>('Thurs (2)'!J39+Thurs!J39+'Tues '!J39+Wed!J39+Fri!J39+'Mon '!J39+'Wed (2)'!J39+Sun!J39+Sat!J39)</f>
        <v>3</v>
      </c>
      <c r="K39" s="103">
        <f>('Thurs (2)'!K39+Thurs!K39+'Tues '!K39+Wed!K39+Fri!K39+'Mon '!K39+'Wed (2)'!K39+Sun!K39+Sat!K39)</f>
        <v>0</v>
      </c>
      <c r="L39" s="103">
        <f>('Thurs (2)'!L39+Thurs!L39+'Tues '!L39+Wed!L39+Fri!L39+'Mon '!L39+'Wed (2)'!L39+Sun!L39+Sat!L39)</f>
        <v>2</v>
      </c>
      <c r="M39" s="103">
        <f>('Thurs (2)'!M39+Thurs!M39+'Tues '!M39+Wed!M39+Fri!M39+'Mon '!M39+'Wed (2)'!M39+Sun!M39+Sat!M39)</f>
        <v>1</v>
      </c>
      <c r="N39" s="103">
        <f>('Thurs (2)'!N39+Thurs!N39+'Tues '!N39+Wed!N39+Fri!N39+'Mon '!N39+'Wed (2)'!N39+Sun!N39+Sat!N39)</f>
        <v>2</v>
      </c>
      <c r="O39" s="103">
        <f>('Thurs (2)'!O39+Thurs!O39+'Tues '!O39+Wed!O39+Fri!O39+'Mon '!O39+'Wed (2)'!O39+Sun!O39+Sat!O39)</f>
        <v>0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2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0</v>
      </c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>
        <f>('Thurs (2)'!G40+Thurs!G40+'Tues '!G40+Wed!G40+Fri!G40+'Mon '!G40+'Wed (2)'!G40+Sun!G40+Sat!G40)</f>
        <v>1</v>
      </c>
      <c r="H40" s="103">
        <f>('Thurs (2)'!H40+Thurs!H40+'Tues '!H40+Wed!H40+Fri!H40+'Mon '!H40+'Wed (2)'!H40+Sun!H40+Sat!H40)</f>
        <v>1</v>
      </c>
      <c r="I40" s="103">
        <f>('Thurs (2)'!I40+Thurs!I40+'Tues '!I40+Wed!I40+Fri!I40+'Mon '!I40+'Wed (2)'!I40+Sun!I40+Sat!I40)</f>
        <v>1</v>
      </c>
      <c r="J40" s="103">
        <f>('Thurs (2)'!J40+Thurs!J40+'Tues '!J40+Wed!J40+Fri!J40+'Mon '!J40+'Wed (2)'!J40+Sun!J40+Sat!J40)</f>
        <v>1</v>
      </c>
      <c r="K40" s="103">
        <f>('Thurs (2)'!K40+Thurs!K40+'Tues '!K40+Wed!K40+Fri!K40+'Mon '!K40+'Wed (2)'!K40+Sun!K40+Sat!K40)</f>
        <v>1</v>
      </c>
      <c r="L40" s="103">
        <f>('Thurs (2)'!L40+Thurs!L40+'Tues '!L40+Wed!L40+Fri!L40+'Mon '!L40+'Wed (2)'!L40+Sun!L40+Sat!L40)</f>
        <v>0</v>
      </c>
      <c r="M40" s="103">
        <f>('Thurs (2)'!M40+Thurs!M40+'Tues '!M40+Wed!M40+Fri!M40+'Mon '!M40+'Wed (2)'!M40+Sun!M40+Sat!M40)</f>
        <v>2</v>
      </c>
      <c r="N40" s="103">
        <f>('Thurs (2)'!N40+Thurs!N40+'Tues '!N40+Wed!N40+Fri!N40+'Mon '!N40+'Wed (2)'!N40+Sun!N40+Sat!N40)</f>
        <v>1</v>
      </c>
      <c r="O40" s="103">
        <f>('Thurs (2)'!O40+Thurs!O40+'Tues '!O40+Wed!O40+Fri!O40+'Mon '!O40+'Wed (2)'!O40+Sun!O40+Sat!O40)</f>
        <v>1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0</v>
      </c>
      <c r="S40" s="103">
        <f>('Thurs (2)'!S40+Thurs!S40+'Tues '!S40+Wed!S40+Fri!S40+'Mon '!S40+'Wed (2)'!S40+Sun!S40+Sat!S40)</f>
        <v>0</v>
      </c>
      <c r="T40" s="103">
        <f>('Thurs (2)'!T40+Thurs!T40+'Tues '!T40+Wed!T40+Fri!T40+'Mon '!T40+'Wed (2)'!T40+Sun!T40+Sat!T40)</f>
        <v>238</v>
      </c>
      <c r="U40" s="104">
        <f t="shared" si="2"/>
        <v>1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>
        <f>('Thurs (2)'!G41+Thurs!G41+'Tues '!G41+Wed!G41+Fri!G41+'Mon '!G41+'Wed (2)'!G41+Sun!G41+Sat!G41)</f>
        <v>0</v>
      </c>
      <c r="H41" s="103">
        <f>('Thurs (2)'!H41+Thurs!H41+'Tues '!H41+Wed!H41+Fri!H41+'Mon '!H41+'Wed (2)'!H41+Sun!H41+Sat!H41)</f>
        <v>4</v>
      </c>
      <c r="I41" s="103">
        <f>('Thurs (2)'!I41+Thurs!I41+'Tues '!I41+Wed!I41+Fri!I41+'Mon '!I41+'Wed (2)'!I41+Sun!I41+Sat!I41)</f>
        <v>0</v>
      </c>
      <c r="J41" s="103">
        <f>('Thurs (2)'!J41+Thurs!J41+'Tues '!J41+Wed!J41+Fri!J41+'Mon '!J41+'Wed (2)'!J41+Sun!J41+Sat!J41)</f>
        <v>4</v>
      </c>
      <c r="K41" s="103">
        <f>('Thurs (2)'!K41+Thurs!K41+'Tues '!K41+Wed!K41+Fri!K41+'Mon '!K41+'Wed (2)'!K41+Sun!K41+Sat!K41)</f>
        <v>0</v>
      </c>
      <c r="L41" s="103">
        <f>('Thurs (2)'!L41+Thurs!L41+'Tues '!L41+Wed!L41+Fri!L41+'Mon '!L41+'Wed (2)'!L41+Sun!L41+Sat!L41)</f>
        <v>2</v>
      </c>
      <c r="M41" s="103">
        <f>('Thurs (2)'!M41+Thurs!M41+'Tues '!M41+Wed!M41+Fri!M41+'Mon '!M41+'Wed (2)'!M41+Sun!M41+Sat!M41)</f>
        <v>14</v>
      </c>
      <c r="N41" s="103">
        <f>('Thurs (2)'!N41+Thurs!N41+'Tues '!N41+Wed!N41+Fri!N41+'Mon '!N41+'Wed (2)'!N41+Sun!N41+Sat!N41)</f>
        <v>4</v>
      </c>
      <c r="O41" s="103">
        <f>('Thurs (2)'!O41+Thurs!O41+'Tues '!O41+Wed!O41+Fri!O41+'Mon '!O41+'Wed (2)'!O41+Sun!O41+Sat!O41)</f>
        <v>0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0</v>
      </c>
      <c r="S41" s="103">
        <f>('Thurs (2)'!S41+Thurs!S41+'Tues '!S41+Wed!S41+Fri!S41+'Mon '!S41+'Wed (2)'!S41+Sun!S41+Sat!S41)</f>
        <v>0</v>
      </c>
      <c r="T41" s="103">
        <f>('Thurs (2)'!T41+Thurs!T41+'Tues '!T41+Wed!T41+Fri!T41+'Mon '!T41+'Wed (2)'!T41+Sun!T41+Sat!T41)</f>
        <v>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>
        <f>('Thurs (2)'!G42+Thurs!G42+'Tues '!G42+Wed!G42+Fri!G42+'Mon '!G42+'Wed (2)'!G42+Sun!G42+Sat!G42)</f>
        <v>1</v>
      </c>
      <c r="H42" s="103">
        <f>('Thurs (2)'!H42+Thurs!H42+'Tues '!H42+Wed!H42+Fri!H42+'Mon '!H42+'Wed (2)'!H42+Sun!H42+Sat!H42)</f>
        <v>1</v>
      </c>
      <c r="I42" s="103">
        <f>('Thurs (2)'!I42+Thurs!I42+'Tues '!I42+Wed!I42+Fri!I42+'Mon '!I42+'Wed (2)'!I42+Sun!I42+Sat!I42)</f>
        <v>1</v>
      </c>
      <c r="J42" s="103">
        <f>('Thurs (2)'!J42+Thurs!J42+'Tues '!J42+Wed!J42+Fri!J42+'Mon '!J42+'Wed (2)'!J42+Sun!J42+Sat!J42)</f>
        <v>1</v>
      </c>
      <c r="K42" s="103">
        <f>('Thurs (2)'!K42+Thurs!K42+'Tues '!K42+Wed!K42+Fri!K42+'Mon '!K42+'Wed (2)'!K42+Sun!K42+Sat!K42)</f>
        <v>1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4</v>
      </c>
      <c r="N42" s="103">
        <f>('Thurs (2)'!N42+Thurs!N42+'Tues '!N42+Wed!N42+Fri!N42+'Mon '!N42+'Wed (2)'!N42+Sun!N42+Sat!N42)</f>
        <v>1</v>
      </c>
      <c r="O42" s="103">
        <f>('Thurs (2)'!O42+Thurs!O42+'Tues '!O42+Wed!O42+Fri!O42+'Mon '!O42+'Wed (2)'!O42+Sun!O42+Sat!O42)</f>
        <v>1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0</v>
      </c>
      <c r="S42" s="103">
        <f>('Thurs (2)'!S42+Thurs!S42+'Tues '!S42+Wed!S42+Fri!S42+'Mon '!S42+'Wed (2)'!S42+Sun!S42+Sat!S42)</f>
        <v>0</v>
      </c>
      <c r="T42" s="103">
        <f>('Thurs (2)'!T42+Thurs!T42+'Tues '!T42+Wed!T42+Fri!T42+'Mon '!T42+'Wed (2)'!T42+Sun!T42+Sat!T42)</f>
        <v>1305</v>
      </c>
      <c r="U42" s="104">
        <f t="shared" si="2"/>
        <v>1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>
        <f>('Thurs (2)'!G43+Thurs!G43+'Tues '!G43+Wed!G43+Fri!G43+'Mon '!G43+'Wed (2)'!G43+Sun!G43+Sat!G43)</f>
        <v>0</v>
      </c>
      <c r="H43" s="103">
        <f>('Thurs (2)'!H43+Thurs!H43+'Tues '!H43+Wed!H43+Fri!H43+'Mon '!H43+'Wed (2)'!H43+Sun!H43+Sat!H43)</f>
        <v>0</v>
      </c>
      <c r="I43" s="103">
        <f>('Thurs (2)'!I43+Thurs!I43+'Tues '!I43+Wed!I43+Fri!I43+'Mon '!I43+'Wed (2)'!I43+Sun!I43+Sat!I43)</f>
        <v>0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0</v>
      </c>
      <c r="M43" s="103">
        <f>('Thurs (2)'!M43+Thurs!M43+'Tues '!M43+Wed!M43+Fri!M43+'Mon '!M43+'Wed (2)'!M43+Sun!M43+Sat!M43)</f>
        <v>0</v>
      </c>
      <c r="N43" s="103">
        <f>('Thurs (2)'!N43+Thurs!N43+'Tues '!N43+Wed!N43+Fri!N43+'Mon '!N43+'Wed (2)'!N43+Sun!N43+Sat!N43)</f>
        <v>0</v>
      </c>
      <c r="O43" s="103">
        <f>('Thurs (2)'!O43+Thurs!O43+'Tues '!O43+Wed!O43+Fri!O43+'Mon '!O43+'Wed (2)'!O43+Sun!O43+Sat!O43)</f>
        <v>0</v>
      </c>
      <c r="P43" s="103">
        <f>('Thurs (2)'!P43+Thurs!P43+'Tues '!P43+Wed!P43+Fri!P43+'Mon '!P43+'Wed (2)'!P43+Sun!P43+Sat!P43)</f>
        <v>0</v>
      </c>
      <c r="Q43" s="103">
        <f>('Thurs (2)'!Q43+Thurs!Q43+'Tues '!Q43+Wed!Q43+Fri!Q43+'Mon '!Q43+'Wed (2)'!Q43+Sun!Q43+Sat!Q43)</f>
        <v>0</v>
      </c>
      <c r="R43" s="103">
        <f>('Thurs (2)'!R43+Thurs!R43+'Tues '!R43+Wed!R43+Fri!R43+'Mon '!R43+'Wed (2)'!R43+Sun!R43+Sat!R43)</f>
        <v>0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>
        <f>('Thurs (2)'!G44+Thurs!G44+'Tues '!G44+Wed!G44+Fri!G44+'Mon '!G44+'Wed (2)'!G44+Sun!G44+Sat!G44)</f>
        <v>5</v>
      </c>
      <c r="H44" s="103">
        <f>('Thurs (2)'!H44+Thurs!H44+'Tues '!H44+Wed!H44+Fri!H44+'Mon '!H44+'Wed (2)'!H44+Sun!H44+Sat!H44)</f>
        <v>1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1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0.2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>
        <f>('Thurs (2)'!G45+Thurs!G45+'Tues '!G45+Wed!G45+Fri!G45+'Mon '!G45+'Wed (2)'!G45+Sun!G45+Sat!G45)</f>
        <v>6</v>
      </c>
      <c r="H45" s="103">
        <f>('Thurs (2)'!H45+Thurs!H45+'Tues '!H45+Wed!H45+Fri!H45+'Mon '!H45+'Wed (2)'!H45+Sun!H45+Sat!H45)</f>
        <v>7</v>
      </c>
      <c r="I45" s="103">
        <f>('Thurs (2)'!I45+Thurs!I45+'Tues '!I45+Wed!I45+Fri!I45+'Mon '!I45+'Wed (2)'!I45+Sun!I45+Sat!I45)</f>
        <v>1</v>
      </c>
      <c r="J45" s="103">
        <f>('Thurs (2)'!J45+Thurs!J45+'Tues '!J45+Wed!J45+Fri!J45+'Mon '!J45+'Wed (2)'!J45+Sun!J45+Sat!J45)</f>
        <v>5</v>
      </c>
      <c r="K45" s="103">
        <f>('Thurs (2)'!K45+Thurs!K45+'Tues '!K45+Wed!K45+Fri!K45+'Mon '!K45+'Wed (2)'!K45+Sun!K45+Sat!K45)</f>
        <v>1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32</v>
      </c>
      <c r="N45" s="103">
        <f>('Thurs (2)'!N45+Thurs!N45+'Tues '!N45+Wed!N45+Fri!N45+'Mon '!N45+'Wed (2)'!N45+Sun!N45+Sat!N45)</f>
        <v>0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4</v>
      </c>
      <c r="S45" s="103">
        <f>('Thurs (2)'!S45+Thurs!S45+'Tues '!S45+Wed!S45+Fri!S45+'Mon '!S45+'Wed (2)'!S45+Sun!S45+Sat!S45)</f>
        <v>1</v>
      </c>
      <c r="T45" s="103">
        <f>('Thurs (2)'!T45+Thurs!T45+'Tues '!T45+Wed!T45+Fri!T45+'Mon '!T45+'Wed (2)'!T45+Sun!T45+Sat!T45)</f>
        <v>1769</v>
      </c>
      <c r="U45" s="104">
        <f t="shared" si="2"/>
        <v>0.1428571429</v>
      </c>
      <c r="V45" s="104">
        <f t="shared" si="3"/>
        <v>1.166666667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>
        <f>('Thurs (2)'!G46+Thurs!G46+'Tues '!G46+Wed!G46+Fri!G46+'Mon '!G46+'Wed (2)'!G46+Sun!G46+Sat!G46)</f>
        <v>9</v>
      </c>
      <c r="H46" s="103">
        <f>('Thurs (2)'!H46+Thurs!H46+'Tues '!H46+Wed!H46+Fri!H46+'Mon '!H46+'Wed (2)'!H46+Sun!H46+Sat!H46)</f>
        <v>11</v>
      </c>
      <c r="I46" s="103">
        <f>('Thurs (2)'!I46+Thurs!I46+'Tues '!I46+Wed!I46+Fri!I46+'Mon '!I46+'Wed (2)'!I46+Sun!I46+Sat!I46)</f>
        <v>2</v>
      </c>
      <c r="J46" s="103">
        <f>('Thurs (2)'!J46+Thurs!J46+'Tues '!J46+Wed!J46+Fri!J46+'Mon '!J46+'Wed (2)'!J46+Sun!J46+Sat!J46)</f>
        <v>4</v>
      </c>
      <c r="K46" s="103">
        <f>('Thurs (2)'!K46+Thurs!K46+'Tues '!K46+Wed!K46+Fri!K46+'Mon '!K46+'Wed (2)'!K46+Sun!K46+Sat!K46)</f>
        <v>0</v>
      </c>
      <c r="L46" s="103">
        <f>('Thurs (2)'!L46+Thurs!L46+'Tues '!L46+Wed!L46+Fri!L46+'Mon '!L46+'Wed (2)'!L46+Sun!L46+Sat!L46)</f>
        <v>4</v>
      </c>
      <c r="M46" s="103">
        <f>('Thurs (2)'!M46+Thurs!M46+'Tues '!M46+Wed!M46+Fri!M46+'Mon '!M46+'Wed (2)'!M46+Sun!M46+Sat!M46)</f>
        <v>41</v>
      </c>
      <c r="N46" s="103">
        <f>('Thurs (2)'!N46+Thurs!N46+'Tues '!N46+Wed!N46+Fri!N46+'Mon '!N46+'Wed (2)'!N46+Sun!N46+Sat!N46)</f>
        <v>4</v>
      </c>
      <c r="O46" s="103">
        <f>('Thurs (2)'!O46+Thurs!O46+'Tues '!O46+Wed!O46+Fri!O46+'Mon '!O46+'Wed (2)'!O46+Sun!O46+Sat!O46)</f>
        <v>1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5</v>
      </c>
      <c r="S46" s="103">
        <f>('Thurs (2)'!S46+Thurs!S46+'Tues '!S46+Wed!S46+Fri!S46+'Mon '!S46+'Wed (2)'!S46+Sun!S46+Sat!S46)</f>
        <v>1</v>
      </c>
      <c r="T46" s="103">
        <f>('Thurs (2)'!T46+Thurs!T46+'Tues '!T46+Wed!T46+Fri!T46+'Mon '!T46+'Wed (2)'!T46+Sun!T46+Sat!T46)</f>
        <v>3543</v>
      </c>
      <c r="U46" s="104">
        <f t="shared" si="2"/>
        <v>0.1818181818</v>
      </c>
      <c r="V46" s="104">
        <f t="shared" si="3"/>
        <v>1.666666667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03">
        <f>('Thurs (2)'!G47+Thurs!G47+'Tues '!G47+Wed!G47+Fri!G47+'Mon '!G47+'Wed (2)'!G47+Sun!G47+Sat!G47)</f>
        <v>8</v>
      </c>
      <c r="H47" s="103">
        <f>('Thurs (2)'!H47+Thurs!H47+'Tues '!H47+Wed!H47+Fri!H47+'Mon '!H47+'Wed (2)'!H47+Sun!H47+Sat!H47)</f>
        <v>4</v>
      </c>
      <c r="I47" s="103">
        <f>('Thurs (2)'!I47+Thurs!I47+'Tues '!I47+Wed!I47+Fri!I47+'Mon '!I47+'Wed (2)'!I47+Sun!I47+Sat!I47)</f>
        <v>1</v>
      </c>
      <c r="J47" s="103">
        <f>('Thurs (2)'!J47+Thurs!J47+'Tues '!J47+Wed!J47+Fri!J47+'Mon '!J47+'Wed (2)'!J47+Sun!J47+Sat!J47)</f>
        <v>1</v>
      </c>
      <c r="K47" s="103">
        <f>('Thurs (2)'!K47+Thurs!K47+'Tues '!K47+Wed!K47+Fri!K47+'Mon '!K47+'Wed (2)'!K47+Sun!K47+Sat!K47)</f>
        <v>0</v>
      </c>
      <c r="L47" s="103">
        <f>('Thurs (2)'!L47+Thurs!L47+'Tues '!L47+Wed!L47+Fri!L47+'Mon '!L47+'Wed (2)'!L47+Sun!L47+Sat!L47)</f>
        <v>0</v>
      </c>
      <c r="M47" s="103">
        <f>('Thurs (2)'!M47+Thurs!M47+'Tues '!M47+Wed!M47+Fri!M47+'Mon '!M47+'Wed (2)'!M47+Sun!M47+Sat!M47)</f>
        <v>33</v>
      </c>
      <c r="N47" s="103">
        <f>('Thurs (2)'!N47+Thurs!N47+'Tues '!N47+Wed!N47+Fri!N47+'Mon '!N47+'Wed (2)'!N47+Sun!N47+Sat!N47)</f>
        <v>1</v>
      </c>
      <c r="O47" s="103">
        <f>('Thurs (2)'!O47+Thurs!O47+'Tues '!O47+Wed!O47+Fri!O47+'Mon '!O47+'Wed (2)'!O47+Sun!O47+Sat!O47)</f>
        <v>0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3</v>
      </c>
      <c r="S47" s="103">
        <f>('Thurs (2)'!S47+Thurs!S47+'Tues '!S47+Wed!S47+Fri!S47+'Mon '!S47+'Wed (2)'!S47+Sun!S47+Sat!S47)</f>
        <v>1</v>
      </c>
      <c r="T47" s="103">
        <f>('Thurs (2)'!T47+Thurs!T47+'Tues '!T47+Wed!T47+Fri!T47+'Mon '!T47+'Wed (2)'!T47+Sun!T47+Sat!T47)</f>
        <v>1955</v>
      </c>
      <c r="U47" s="104">
        <f t="shared" si="2"/>
        <v>0.25</v>
      </c>
      <c r="V47" s="104">
        <f t="shared" si="3"/>
        <v>0.5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>
        <f>('Thurs (2)'!G48+Thurs!G48+'Tues '!G48+Wed!G48+Fri!G48+'Mon '!G48+'Wed (2)'!G48+Sun!G48+Sat!G48)</f>
        <v>0</v>
      </c>
      <c r="H48" s="103">
        <f>('Thurs (2)'!H48+Thurs!H48+'Tues '!H48+Wed!H48+Fri!H48+'Mon '!H48+'Wed (2)'!H48+Sun!H48+Sat!H48)</f>
        <v>0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0</v>
      </c>
      <c r="N48" s="103">
        <f>('Thurs (2)'!N48+Thurs!N48+'Tues '!N48+Wed!N48+Fri!N48+'Mon '!N48+'Wed (2)'!N48+Sun!N48+Sat!N48)</f>
        <v>0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03">
        <f>('Thurs (2)'!G49+Thurs!G49+'Tues '!G49+Wed!G49+Fri!G49+'Mon '!G49+'Wed (2)'!G49+Sun!G49+Sat!G49)</f>
        <v>15</v>
      </c>
      <c r="H49" s="103">
        <f>('Thurs (2)'!H49+Thurs!H49+'Tues '!H49+Wed!H49+Fri!H49+'Mon '!H49+'Wed (2)'!H49+Sun!H49+Sat!H49)</f>
        <v>3</v>
      </c>
      <c r="I49" s="103">
        <f>('Thurs (2)'!I49+Thurs!I49+'Tues '!I49+Wed!I49+Fri!I49+'Mon '!I49+'Wed (2)'!I49+Sun!I49+Sat!I49)</f>
        <v>1</v>
      </c>
      <c r="J49" s="103">
        <f>('Thurs (2)'!J49+Thurs!J49+'Tues '!J49+Wed!J49+Fri!J49+'Mon '!J49+'Wed (2)'!J49+Sun!J49+Sat!J49)</f>
        <v>0</v>
      </c>
      <c r="K49" s="103">
        <f>('Thurs (2)'!K49+Thurs!K49+'Tues '!K49+Wed!K49+Fri!K49+'Mon '!K49+'Wed (2)'!K49+Sun!K49+Sat!K49)</f>
        <v>0</v>
      </c>
      <c r="L49" s="103">
        <f>('Thurs (2)'!L49+Thurs!L49+'Tues '!L49+Wed!L49+Fri!L49+'Mon '!L49+'Wed (2)'!L49+Sun!L49+Sat!L49)</f>
        <v>0</v>
      </c>
      <c r="M49" s="103">
        <f>('Thurs (2)'!M49+Thurs!M49+'Tues '!M49+Wed!M49+Fri!M49+'Mon '!M49+'Wed (2)'!M49+Sun!M49+Sat!M49)</f>
        <v>13</v>
      </c>
      <c r="N49" s="103">
        <f>('Thurs (2)'!N49+Thurs!N49+'Tues '!N49+Wed!N49+Fri!N49+'Mon '!N49+'Wed (2)'!N49+Sun!N49+Sat!N49)</f>
        <v>2</v>
      </c>
      <c r="O49" s="103">
        <f>('Thurs (2)'!O49+Thurs!O49+'Tues '!O49+Wed!O49+Fri!O49+'Mon '!O49+'Wed (2)'!O49+Sun!O49+Sat!O49)</f>
        <v>1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0</v>
      </c>
      <c r="S49" s="103">
        <f>('Thurs (2)'!S49+Thurs!S49+'Tues '!S49+Wed!S49+Fri!S49+'Mon '!S49+'Wed (2)'!S49+Sun!S49+Sat!S49)</f>
        <v>0</v>
      </c>
      <c r="T49" s="103">
        <f>('Thurs (2)'!T49+Thurs!T49+'Tues '!T49+Wed!T49+Fri!T49+'Mon '!T49+'Wed (2)'!T49+Sun!T49+Sat!T49)</f>
        <v>1703</v>
      </c>
      <c r="U49" s="104">
        <f t="shared" si="2"/>
        <v>0.3333333333</v>
      </c>
      <c r="V49" s="104">
        <f t="shared" si="3"/>
        <v>0.2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>
        <f>('Thurs (2)'!G50+Thurs!G50+'Tues '!G50+Wed!G50+Fri!G50+'Mon '!G50+'Wed (2)'!G50+Sun!G50+Sat!G50)</f>
        <v>6</v>
      </c>
      <c r="H50" s="103">
        <f>('Thurs (2)'!H50+Thurs!H50+'Tues '!H50+Wed!H50+Fri!H50+'Mon '!H50+'Wed (2)'!H50+Sun!H50+Sat!H50)</f>
        <v>5</v>
      </c>
      <c r="I50" s="103">
        <f>('Thurs (2)'!I50+Thurs!I50+'Tues '!I50+Wed!I50+Fri!I50+'Mon '!I50+'Wed (2)'!I50+Sun!I50+Sat!I50)</f>
        <v>2</v>
      </c>
      <c r="J50" s="103">
        <f>('Thurs (2)'!J50+Thurs!J50+'Tues '!J50+Wed!J50+Fri!J50+'Mon '!J50+'Wed (2)'!J50+Sun!J50+Sat!J50)</f>
        <v>1</v>
      </c>
      <c r="K50" s="103">
        <f>('Thurs (2)'!K50+Thurs!K50+'Tues '!K50+Wed!K50+Fri!K50+'Mon '!K50+'Wed (2)'!K50+Sun!K50+Sat!K50)</f>
        <v>1</v>
      </c>
      <c r="L50" s="103">
        <f>('Thurs (2)'!L50+Thurs!L50+'Tues '!L50+Wed!L50+Fri!L50+'Mon '!L50+'Wed (2)'!L50+Sun!L50+Sat!L50)</f>
        <v>1</v>
      </c>
      <c r="M50" s="103">
        <f>('Thurs (2)'!M50+Thurs!M50+'Tues '!M50+Wed!M50+Fri!M50+'Mon '!M50+'Wed (2)'!M50+Sun!M50+Sat!M50)</f>
        <v>16</v>
      </c>
      <c r="N50" s="103">
        <f>('Thurs (2)'!N50+Thurs!N50+'Tues '!N50+Wed!N50+Fri!N50+'Mon '!N50+'Wed (2)'!N50+Sun!N50+Sat!N50)</f>
        <v>1</v>
      </c>
      <c r="O50" s="103">
        <f>('Thurs (2)'!O50+Thurs!O50+'Tues '!O50+Wed!O50+Fri!O50+'Mon '!O50+'Wed (2)'!O50+Sun!O50+Sat!O50)</f>
        <v>0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5</v>
      </c>
      <c r="S50" s="103">
        <f>('Thurs (2)'!S50+Thurs!S50+'Tues '!S50+Wed!S50+Fri!S50+'Mon '!S50+'Wed (2)'!S50+Sun!S50+Sat!S50)</f>
        <v>2</v>
      </c>
      <c r="T50" s="103">
        <f>('Thurs (2)'!T50+Thurs!T50+'Tues '!T50+Wed!T50+Fri!T50+'Mon '!T50+'Wed (2)'!T50+Sun!T50+Sat!T50)</f>
        <v>5204</v>
      </c>
      <c r="U50" s="104">
        <f t="shared" si="2"/>
        <v>0.4</v>
      </c>
      <c r="V50" s="104">
        <f t="shared" si="3"/>
        <v>1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03">
        <f>('Thurs (2)'!G51+Thurs!G51+'Tues '!G51+Wed!G51+Fri!G51+'Mon '!G51+'Wed (2)'!G51+Sun!G51+Sat!G51)</f>
        <v>0</v>
      </c>
      <c r="H51" s="103">
        <f>('Thurs (2)'!H51+Thurs!H51+'Tues '!H51+Wed!H51+Fri!H51+'Mon '!H51+'Wed (2)'!H51+Sun!H51+Sat!H51)</f>
        <v>0</v>
      </c>
      <c r="I51" s="103">
        <f>('Thurs (2)'!I51+Thurs!I51+'Tues '!I51+Wed!I51+Fri!I51+'Mon '!I51+'Wed (2)'!I51+Sun!I51+Sat!I51)</f>
        <v>0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0</v>
      </c>
      <c r="N51" s="103">
        <f>('Thurs (2)'!N51+Thurs!N51+'Tues '!N51+Wed!N51+Fri!N51+'Mon '!N51+'Wed (2)'!N51+Sun!N51+Sat!N51)</f>
        <v>0</v>
      </c>
      <c r="O51" s="103">
        <f>('Thurs (2)'!O51+Thurs!O51+'Tues '!O51+Wed!O51+Fri!O51+'Mon '!O51+'Wed (2)'!O51+Sun!O51+Sat!O51)</f>
        <v>0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03">
        <f>('Thurs (2)'!G52+Thurs!G52+'Tues '!G52+Wed!G52+Fri!G52+'Mon '!G52+'Wed (2)'!G52+Sun!G52+Sat!G52)</f>
        <v>0</v>
      </c>
      <c r="H52" s="103">
        <f>('Thurs (2)'!H52+Thurs!H52+'Tues '!H52+Wed!H52+Fri!H52+'Mon '!H52+'Wed (2)'!H52+Sun!H52+Sat!H52)</f>
        <v>0</v>
      </c>
      <c r="I52" s="103">
        <f>('Thurs (2)'!I52+Thurs!I52+'Tues '!I52+Wed!I52+Fri!I52+'Mon '!I52+'Wed (2)'!I52+Sun!I52+Sat!I52)</f>
        <v>0</v>
      </c>
      <c r="J52" s="103">
        <f>('Thurs (2)'!J52+Thurs!J52+'Tues '!J52+Wed!J52+Fri!J52+'Mon '!J52+'Wed (2)'!J52+Sun!J52+Sat!J52)</f>
        <v>0</v>
      </c>
      <c r="K52" s="103">
        <f>('Thurs (2)'!K52+Thurs!K52+'Tues '!K52+Wed!K52+Fri!K52+'Mon '!K52+'Wed (2)'!K52+Sun!K52+Sat!K52)</f>
        <v>0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0</v>
      </c>
      <c r="N52" s="103">
        <f>('Thurs (2)'!N52+Thurs!N52+'Tues '!N52+Wed!N52+Fri!N52+'Mon '!N52+'Wed (2)'!N52+Sun!N52+Sat!N52)</f>
        <v>0</v>
      </c>
      <c r="O52" s="103">
        <f>('Thurs (2)'!O52+Thurs!O52+'Tues '!O52+Wed!O52+Fri!O52+'Mon '!O52+'Wed (2)'!O52+Sun!O52+Sat!O52)</f>
        <v>0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0</v>
      </c>
      <c r="S52" s="103">
        <f>('Thurs (2)'!S52+Thurs!S52+'Tues '!S52+Wed!S52+Fri!S52+'Mon '!S52+'Wed (2)'!S52+Sun!S52+Sat!S52)</f>
        <v>0</v>
      </c>
      <c r="T52" s="103">
        <f>('Thurs (2)'!T52+Thurs!T52+'Tues '!T52+Wed!T52+Fri!T52+'Mon '!T52+'Wed (2)'!T52+Sun!T52+Sat!T52)</f>
        <v>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>
        <f>('Thurs (2)'!G53+Thurs!G53+'Tues '!G53+Wed!G53+Fri!G53+'Mon '!G53+'Wed (2)'!G53+Sun!G53+Sat!G53)</f>
        <v>14</v>
      </c>
      <c r="H53" s="103">
        <f>('Thurs (2)'!H53+Thurs!H53+'Tues '!H53+Wed!H53+Fri!H53+'Mon '!H53+'Wed (2)'!H53+Sun!H53+Sat!H53)</f>
        <v>1</v>
      </c>
      <c r="I53" s="103">
        <f>('Thurs (2)'!I53+Thurs!I53+'Tues '!I53+Wed!I53+Fri!I53+'Mon '!I53+'Wed (2)'!I53+Sun!I53+Sat!I53)</f>
        <v>0</v>
      </c>
      <c r="J53" s="103">
        <f>('Thurs (2)'!J53+Thurs!J53+'Tues '!J53+Wed!J53+Fri!J53+'Mon '!J53+'Wed (2)'!J53+Sun!J53+Sat!J53)</f>
        <v>0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0</v>
      </c>
      <c r="M53" s="103">
        <f>('Thurs (2)'!M53+Thurs!M53+'Tues '!M53+Wed!M53+Fri!M53+'Mon '!M53+'Wed (2)'!M53+Sun!M53+Sat!M53)</f>
        <v>6</v>
      </c>
      <c r="N53" s="103">
        <f>('Thurs (2)'!N53+Thurs!N53+'Tues '!N53+Wed!N53+Fri!N53+'Mon '!N53+'Wed (2)'!N53+Sun!N53+Sat!N53)</f>
        <v>1</v>
      </c>
      <c r="O53" s="103">
        <f>('Thurs (2)'!O53+Thurs!O53+'Tues '!O53+Wed!O53+Fri!O53+'Mon '!O53+'Wed (2)'!O53+Sun!O53+Sat!O53)</f>
        <v>0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0</v>
      </c>
      <c r="U53" s="104">
        <f t="shared" si="2"/>
        <v>0</v>
      </c>
      <c r="V53" s="104">
        <f t="shared" si="3"/>
        <v>0.07142857143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>
        <f>('Thurs (2)'!G54+Thurs!G54+'Tues '!G54+Wed!G54+Fri!G54+'Mon '!G54+'Wed (2)'!G54+Sun!G54+Sat!G54)</f>
        <v>1</v>
      </c>
      <c r="H54" s="103">
        <f>('Thurs (2)'!H54+Thurs!H54+'Tues '!H54+Wed!H54+Fri!H54+'Mon '!H54+'Wed (2)'!H54+Sun!H54+Sat!H54)</f>
        <v>1</v>
      </c>
      <c r="I54" s="103">
        <f>('Thurs (2)'!I54+Thurs!I54+'Tues '!I54+Wed!I54+Fri!I54+'Mon '!I54+'Wed (2)'!I54+Sun!I54+Sat!I54)</f>
        <v>0</v>
      </c>
      <c r="J54" s="103">
        <f>('Thurs (2)'!J54+Thurs!J54+'Tues '!J54+Wed!J54+Fri!J54+'Mon '!J54+'Wed (2)'!J54+Sun!J54+Sat!J54)</f>
        <v>0</v>
      </c>
      <c r="K54" s="103">
        <f>('Thurs (2)'!K54+Thurs!K54+'Tues '!K54+Wed!K54+Fri!K54+'Mon '!K54+'Wed (2)'!K54+Sun!K54+Sat!K54)</f>
        <v>0</v>
      </c>
      <c r="L54" s="103">
        <f>('Thurs (2)'!L54+Thurs!L54+'Tues '!L54+Wed!L54+Fri!L54+'Mon '!L54+'Wed (2)'!L54+Sun!L54+Sat!L54)</f>
        <v>0</v>
      </c>
      <c r="M54" s="103">
        <f>('Thurs (2)'!M54+Thurs!M54+'Tues '!M54+Wed!M54+Fri!M54+'Mon '!M54+'Wed (2)'!M54+Sun!M54+Sat!M54)</f>
        <v>1</v>
      </c>
      <c r="N54" s="103">
        <f>('Thurs (2)'!N54+Thurs!N54+'Tues '!N54+Wed!N54+Fri!N54+'Mon '!N54+'Wed (2)'!N54+Sun!N54+Sat!N54)</f>
        <v>1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0</v>
      </c>
      <c r="S54" s="103">
        <f>('Thurs (2)'!S54+Thurs!S54+'Tues '!S54+Wed!S54+Fri!S54+'Mon '!S54+'Wed (2)'!S54+Sun!S54+Sat!S54)</f>
        <v>0</v>
      </c>
      <c r="T54" s="103">
        <f>('Thurs (2)'!T54+Thurs!T54+'Tues '!T54+Wed!T54+Fri!T54+'Mon '!T54+'Wed (2)'!T54+Sun!T54+Sat!T54)</f>
        <v>0</v>
      </c>
      <c r="U54" s="104">
        <f t="shared" si="2"/>
        <v>0</v>
      </c>
      <c r="V54" s="104">
        <f t="shared" si="3"/>
        <v>1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>
        <f>('Thurs (2)'!G55+Thurs!G55+'Tues '!G55+Wed!G55+Fri!G55+'Mon '!G55+'Wed (2)'!G55+Sun!G55+Sat!G55)</f>
        <v>0</v>
      </c>
      <c r="H55" s="103">
        <f>('Thurs (2)'!H55+Thurs!H55+'Tues '!H55+Wed!H55+Fri!H55+'Mon '!H55+'Wed (2)'!H55+Sun!H55+Sat!H55)</f>
        <v>0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0</v>
      </c>
      <c r="K55" s="103">
        <f>('Thurs (2)'!K55+Thurs!K55+'Tues '!K55+Wed!K55+Fri!K55+'Mon '!K55+'Wed (2)'!K55+Sun!K55+Sat!K55)</f>
        <v>0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0</v>
      </c>
      <c r="N55" s="103">
        <f>('Thurs (2)'!N55+Thurs!N55+'Tues '!N55+Wed!N55+Fri!N55+'Mon '!N55+'Wed (2)'!N55+Sun!N55+Sat!N55)</f>
        <v>0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0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>
        <f>('Thurs (2)'!G56+Thurs!G56+'Tues '!G56+Wed!G56+Fri!G56+'Mon '!G56+'Wed (2)'!G56+Sun!G56+Sat!G56)</f>
        <v>4</v>
      </c>
      <c r="H56" s="103">
        <f>('Thurs (2)'!H56+Thurs!H56+'Tues '!H56+Wed!H56+Fri!H56+'Mon '!H56+'Wed (2)'!H56+Sun!H56+Sat!H56)</f>
        <v>2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0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1</v>
      </c>
      <c r="M56" s="103">
        <f>('Thurs (2)'!M56+Thurs!M56+'Tues '!M56+Wed!M56+Fri!M56+'Mon '!M56+'Wed (2)'!M56+Sun!M56+Sat!M56)</f>
        <v>6</v>
      </c>
      <c r="N56" s="103">
        <f>('Thurs (2)'!N56+Thurs!N56+'Tues '!N56+Wed!N56+Fri!N56+'Mon '!N56+'Wed (2)'!N56+Sun!N56+Sat!N56)</f>
        <v>0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1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0.75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>
        <f>('Thurs (2)'!G57+Thurs!G57+'Tues '!G57+Wed!G57+Fri!G57+'Mon '!G57+'Wed (2)'!G57+Sun!G57+Sat!G57)</f>
        <v>53</v>
      </c>
      <c r="H57" s="103">
        <f>('Thurs (2)'!H57+Thurs!H57+'Tues '!H57+Wed!H57+Fri!H57+'Mon '!H57+'Wed (2)'!H57+Sun!H57+Sat!H57)</f>
        <v>21</v>
      </c>
      <c r="I57" s="103">
        <f>('Thurs (2)'!I57+Thurs!I57+'Tues '!I57+Wed!I57+Fri!I57+'Mon '!I57+'Wed (2)'!I57+Sun!I57+Sat!I57)</f>
        <v>12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1</v>
      </c>
      <c r="M57" s="103">
        <f>('Thurs (2)'!M57+Thurs!M57+'Tues '!M57+Wed!M57+Fri!M57+'Mon '!M57+'Wed (2)'!M57+Sun!M57+Sat!M57)</f>
        <v>47</v>
      </c>
      <c r="N57" s="103">
        <f>('Thurs (2)'!N57+Thurs!N57+'Tues '!N57+Wed!N57+Fri!N57+'Mon '!N57+'Wed (2)'!N57+Sun!N57+Sat!N57)</f>
        <v>5</v>
      </c>
      <c r="O57" s="103">
        <f>('Thurs (2)'!O57+Thurs!O57+'Tues '!O57+Wed!O57+Fri!O57+'Mon '!O57+'Wed (2)'!O57+Sun!O57+Sat!O57)</f>
        <v>5</v>
      </c>
      <c r="P57" s="103">
        <f>('Thurs (2)'!P57+Thurs!P57+'Tues '!P57+Wed!P57+Fri!P57+'Mon '!P57+'Wed (2)'!P57+Sun!P57+Sat!P57)</f>
        <v>17</v>
      </c>
      <c r="Q57" s="103">
        <f>('Thurs (2)'!Q57+Thurs!Q57+'Tues '!Q57+Wed!Q57+Fri!Q57+'Mon '!Q57+'Wed (2)'!Q57+Sun!Q57+Sat!Q57)</f>
        <v>7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18672</v>
      </c>
      <c r="U57" s="104">
        <f t="shared" si="2"/>
        <v>0.5714285714</v>
      </c>
      <c r="V57" s="104">
        <f t="shared" si="3"/>
        <v>0.4150943396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>
        <f>('Thurs (2)'!G58+Thurs!G58+'Tues '!G58+Wed!G58+Fri!G58+'Mon '!G58+'Wed (2)'!G58+Sun!G58+Sat!G58)</f>
        <v>8</v>
      </c>
      <c r="H58" s="103">
        <f>('Thurs (2)'!H58+Thurs!H58+'Tues '!H58+Wed!H58+Fri!H58+'Mon '!H58+'Wed (2)'!H58+Sun!H58+Sat!H58)</f>
        <v>5</v>
      </c>
      <c r="I58" s="103">
        <f>('Thurs (2)'!I58+Thurs!I58+'Tues '!I58+Wed!I58+Fri!I58+'Mon '!I58+'Wed (2)'!I58+Sun!I58+Sat!I58)</f>
        <v>4</v>
      </c>
      <c r="J58" s="103">
        <f>('Thurs (2)'!J58+Thurs!J58+'Tues '!J58+Wed!J58+Fri!J58+'Mon '!J58+'Wed (2)'!J58+Sun!J58+Sat!J58)</f>
        <v>2</v>
      </c>
      <c r="K58" s="103">
        <f>('Thurs (2)'!K58+Thurs!K58+'Tues '!K58+Wed!K58+Fri!K58+'Mon '!K58+'Wed (2)'!K58+Sun!K58+Sat!K58)</f>
        <v>2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5</v>
      </c>
      <c r="N58" s="103">
        <f>('Thurs (2)'!N58+Thurs!N58+'Tues '!N58+Wed!N58+Fri!N58+'Mon '!N58+'Wed (2)'!N58+Sun!N58+Sat!N58)</f>
        <v>2</v>
      </c>
      <c r="O58" s="103">
        <f>('Thurs (2)'!O58+Thurs!O58+'Tues '!O58+Wed!O58+Fri!O58+'Mon '!O58+'Wed (2)'!O58+Sun!O58+Sat!O58)</f>
        <v>2</v>
      </c>
      <c r="P58" s="103">
        <f>('Thurs (2)'!P58+Thurs!P58+'Tues '!P58+Wed!P58+Fri!P58+'Mon '!P58+'Wed (2)'!P58+Sun!P58+Sat!P58)</f>
        <v>3</v>
      </c>
      <c r="Q58" s="103">
        <f>('Thurs (2)'!Q58+Thurs!Q58+'Tues '!Q58+Wed!Q58+Fri!Q58+'Mon '!Q58+'Wed (2)'!Q58+Sun!Q58+Sat!Q58)</f>
        <v>2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4276</v>
      </c>
      <c r="U58" s="104">
        <f t="shared" si="2"/>
        <v>0.8</v>
      </c>
      <c r="V58" s="104">
        <f t="shared" si="3"/>
        <v>0.625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>
        <f>('Thurs (2)'!G59+Thurs!G59+'Tues '!G59+Wed!G59+Fri!G59+'Mon '!G59+'Wed (2)'!G59+Sun!G59+Sat!G59)</f>
        <v>2</v>
      </c>
      <c r="H59" s="103">
        <f>('Thurs (2)'!H59+Thurs!H59+'Tues '!H59+Wed!H59+Fri!H59+'Mon '!H59+'Wed (2)'!H59+Sun!H59+Sat!H59)</f>
        <v>2</v>
      </c>
      <c r="I59" s="103">
        <f>('Thurs (2)'!I59+Thurs!I59+'Tues '!I59+Wed!I59+Fri!I59+'Mon '!I59+'Wed (2)'!I59+Sun!I59+Sat!I59)</f>
        <v>1</v>
      </c>
      <c r="J59" s="103">
        <f>('Thurs (2)'!J59+Thurs!J59+'Tues '!J59+Wed!J59+Fri!J59+'Mon '!J59+'Wed (2)'!J59+Sun!J59+Sat!J59)</f>
        <v>2</v>
      </c>
      <c r="K59" s="103">
        <f>('Thurs (2)'!K59+Thurs!K59+'Tues '!K59+Wed!K59+Fri!K59+'Mon '!K59+'Wed (2)'!K59+Sun!K59+Sat!K59)</f>
        <v>1</v>
      </c>
      <c r="L59" s="103">
        <f>('Thurs (2)'!L59+Thurs!L59+'Tues '!L59+Wed!L59+Fri!L59+'Mon '!L59+'Wed (2)'!L59+Sun!L59+Sat!L59)</f>
        <v>0</v>
      </c>
      <c r="M59" s="103">
        <f>('Thurs (2)'!M59+Thurs!M59+'Tues '!M59+Wed!M59+Fri!M59+'Mon '!M59+'Wed (2)'!M59+Sun!M59+Sat!M59)</f>
        <v>0</v>
      </c>
      <c r="N59" s="103">
        <f>('Thurs (2)'!N59+Thurs!N59+'Tues '!N59+Wed!N59+Fri!N59+'Mon '!N59+'Wed (2)'!N59+Sun!N59+Sat!N59)</f>
        <v>1</v>
      </c>
      <c r="O59" s="103">
        <f>('Thurs (2)'!O59+Thurs!O59+'Tues '!O59+Wed!O59+Fri!O59+'Mon '!O59+'Wed (2)'!O59+Sun!O59+Sat!O59)</f>
        <v>0</v>
      </c>
      <c r="P59" s="103">
        <f>('Thurs (2)'!P59+Thurs!P59+'Tues '!P59+Wed!P59+Fri!P59+'Mon '!P59+'Wed (2)'!P59+Sun!P59+Sat!P59)</f>
        <v>0</v>
      </c>
      <c r="Q59" s="103">
        <f>('Thurs (2)'!Q59+Thurs!Q59+'Tues '!Q59+Wed!Q59+Fri!Q59+'Mon '!Q59+'Wed (2)'!Q59+Sun!Q59+Sat!Q59)</f>
        <v>0</v>
      </c>
      <c r="R59" s="103">
        <f>('Thurs (2)'!R59+Thurs!R59+'Tues '!R59+Wed!R59+Fri!R59+'Mon '!R59+'Wed (2)'!R59+Sun!R59+Sat!R59)</f>
        <v>1</v>
      </c>
      <c r="S59" s="103">
        <f>('Thurs (2)'!S59+Thurs!S59+'Tues '!S59+Wed!S59+Fri!S59+'Mon '!S59+'Wed (2)'!S59+Sun!S59+Sat!S59)</f>
        <v>1</v>
      </c>
      <c r="T59" s="103">
        <f>('Thurs (2)'!T59+Thurs!T59+'Tues '!T59+Wed!T59+Fri!T59+'Mon '!T59+'Wed (2)'!T59+Sun!T59+Sat!T59)</f>
        <v>1439</v>
      </c>
      <c r="U59" s="104">
        <f t="shared" si="2"/>
        <v>0.5</v>
      </c>
      <c r="V59" s="104">
        <f t="shared" si="3"/>
        <v>1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>
        <f>('Thurs (2)'!G60+Thurs!G60+'Tues '!G60+Wed!G60+Fri!G60+'Mon '!G60+'Wed (2)'!G60+Sun!G60+Sat!G60)</f>
        <v>1</v>
      </c>
      <c r="H60" s="103">
        <f>('Thurs (2)'!H60+Thurs!H60+'Tues '!H60+Wed!H60+Fri!H60+'Mon '!H60+'Wed (2)'!H60+Sun!H60+Sat!H60)</f>
        <v>1</v>
      </c>
      <c r="I60" s="103">
        <f>('Thurs (2)'!I60+Thurs!I60+'Tues '!I60+Wed!I60+Fri!I60+'Mon '!I60+'Wed (2)'!I60+Sun!I60+Sat!I60)</f>
        <v>0</v>
      </c>
      <c r="J60" s="103">
        <f>('Thurs (2)'!J60+Thurs!J60+'Tues '!J60+Wed!J60+Fri!J60+'Mon '!J60+'Wed (2)'!J60+Sun!J60+Sat!J60)</f>
        <v>0</v>
      </c>
      <c r="K60" s="103">
        <f>('Thurs (2)'!K60+Thurs!K60+'Tues '!K60+Wed!K60+Fri!K60+'Mon '!K60+'Wed (2)'!K60+Sun!K60+Sat!K60)</f>
        <v>0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0</v>
      </c>
      <c r="N60" s="103">
        <f>('Thurs (2)'!N60+Thurs!N60+'Tues '!N60+Wed!N60+Fri!N60+'Mon '!N60+'Wed (2)'!N60+Sun!N60+Sat!N60)</f>
        <v>1</v>
      </c>
      <c r="O60" s="103">
        <f>('Thurs (2)'!O60+Thurs!O60+'Tues '!O60+Wed!O60+Fri!O60+'Mon '!O60+'Wed (2)'!O60+Sun!O60+Sat!O60)</f>
        <v>0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0</v>
      </c>
      <c r="S60" s="103">
        <f>('Thurs (2)'!S60+Thurs!S60+'Tues '!S60+Wed!S60+Fri!S60+'Mon '!S60+'Wed (2)'!S60+Sun!S60+Sat!S60)</f>
        <v>0</v>
      </c>
      <c r="T60" s="103">
        <f>('Thurs (2)'!T60+Thurs!T60+'Tues '!T60+Wed!T60+Fri!T60+'Mon '!T60+'Wed (2)'!T60+Sun!T60+Sat!T60)</f>
        <v>0</v>
      </c>
      <c r="U60" s="104">
        <f t="shared" si="2"/>
        <v>0</v>
      </c>
      <c r="V60" s="104">
        <f t="shared" si="3"/>
        <v>1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>
        <f>('Thurs (2)'!G62+Thurs!G62+'Tues '!G62+Wed!G62+Fri!G62+'Mon '!G62+'Wed (2)'!G62+Sun!G62+Sat!G62)</f>
        <v>0</v>
      </c>
      <c r="H62" s="103">
        <f>('Thurs (2)'!H62+Thurs!H62+'Tues '!H62+Wed!H62+Fri!H62+'Mon '!H62+'Wed (2)'!H62+Sun!H62+Sat!H62)</f>
        <v>0</v>
      </c>
      <c r="I62" s="103">
        <f>('Thurs (2)'!I62+Thurs!I62+'Tues '!I62+Wed!I62+Fri!I62+'Mon '!I62+'Wed (2)'!I62+Sun!I62+Sat!I62)</f>
        <v>0</v>
      </c>
      <c r="J62" s="103">
        <f>('Thurs (2)'!J62+Thurs!J62+'Tues '!J62+Wed!J62+Fri!J62+'Mon '!J62+'Wed (2)'!J62+Sun!J62+Sat!J62)</f>
        <v>0</v>
      </c>
      <c r="K62" s="103">
        <f>('Thurs (2)'!K62+Thurs!K62+'Tues '!K62+Wed!K62+Fri!K62+'Mon '!K62+'Wed (2)'!K62+Sun!K62+Sat!K62)</f>
        <v>0</v>
      </c>
      <c r="L62" s="103">
        <f>('Thurs (2)'!L62+Thurs!L62+'Tues '!L62+Wed!L62+Fri!L62+'Mon '!L62+'Wed (2)'!L62+Sun!L62+Sat!L62)</f>
        <v>0</v>
      </c>
      <c r="M62" s="103">
        <f>('Thurs (2)'!M62+Thurs!M62+'Tues '!M62+Wed!M62+Fri!M62+'Mon '!M62+'Wed (2)'!M62+Sun!M62+Sat!M62)</f>
        <v>0</v>
      </c>
      <c r="N62" s="103">
        <f>('Thurs (2)'!N62+Thurs!N62+'Tues '!N62+Wed!N62+Fri!N62+'Mon '!N62+'Wed (2)'!N62+Sun!N62+Sat!N62)</f>
        <v>0</v>
      </c>
      <c r="O62" s="103">
        <f>('Thurs (2)'!O62+Thurs!O62+'Tues '!O62+Wed!O62+Fri!O62+'Mon '!O62+'Wed (2)'!O62+Sun!O62+Sat!O62)</f>
        <v>0</v>
      </c>
      <c r="P62" s="103">
        <f>('Thurs (2)'!P62+Thurs!P62+'Tues '!P62+Wed!P62+Fri!P62+'Mon '!P62+'Wed (2)'!P62+Sun!P62+Sat!P62)</f>
        <v>0</v>
      </c>
      <c r="Q62" s="103">
        <f>('Thurs (2)'!Q62+Thurs!Q62+'Tues '!Q62+Wed!Q62+Fri!Q62+'Mon '!Q62+'Wed (2)'!Q62+Sun!Q62+Sat!Q62)</f>
        <v>0</v>
      </c>
      <c r="R62" s="103">
        <f>('Thurs (2)'!R62+Thurs!R62+'Tues '!R62+Wed!R62+Fri!R62+'Mon '!R62+'Wed (2)'!R62+Sun!R62+Sat!R62)</f>
        <v>0</v>
      </c>
      <c r="S62" s="103">
        <f>('Thurs (2)'!S62+Thurs!S62+'Tues '!S62+Wed!S62+Fri!S62+'Mon '!S62+'Wed (2)'!S62+Sun!S62+Sat!S62)</f>
        <v>0</v>
      </c>
      <c r="T62" s="103">
        <f>('Thurs (2)'!T62+Thurs!T62+'Tues '!T62+Wed!T62+Fri!T62+'Mon '!T62+'Wed (2)'!T62+Sun!T62+Sat!T62)</f>
        <v>0</v>
      </c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>
        <f>('Thurs (2)'!G63+Thurs!G63+'Tues '!G63+Wed!G63+Fri!G63+'Mon '!G63+'Wed (2)'!G63+Sun!G63+Sat!G63)</f>
        <v>0</v>
      </c>
      <c r="H63" s="103">
        <f>('Thurs (2)'!H63+Thurs!H63+'Tues '!H63+Wed!H63+Fri!H63+'Mon '!H63+'Wed (2)'!H63+Sun!H63+Sat!H63)</f>
        <v>0</v>
      </c>
      <c r="I63" s="103">
        <f>('Thurs (2)'!I63+Thurs!I63+'Tues '!I63+Wed!I63+Fri!I63+'Mon '!I63+'Wed (2)'!I63+Sun!I63+Sat!I63)</f>
        <v>0</v>
      </c>
      <c r="J63" s="103">
        <f>('Thurs (2)'!J63+Thurs!J63+'Tues '!J63+Wed!J63+Fri!J63+'Mon '!J63+'Wed (2)'!J63+Sun!J63+Sat!J63)</f>
        <v>0</v>
      </c>
      <c r="K63" s="103">
        <f>('Thurs (2)'!K63+Thurs!K63+'Tues '!K63+Wed!K63+Fri!K63+'Mon '!K63+'Wed (2)'!K63+Sun!K63+Sat!K63)</f>
        <v>0</v>
      </c>
      <c r="L63" s="103">
        <f>('Thurs (2)'!L63+Thurs!L63+'Tues '!L63+Wed!L63+Fri!L63+'Mon '!L63+'Wed (2)'!L63+Sun!L63+Sat!L63)</f>
        <v>0</v>
      </c>
      <c r="M63" s="103">
        <f>('Thurs (2)'!M63+Thurs!M63+'Tues '!M63+Wed!M63+Fri!M63+'Mon '!M63+'Wed (2)'!M63+Sun!M63+Sat!M63)</f>
        <v>0</v>
      </c>
      <c r="N63" s="103">
        <f>('Thurs (2)'!N63+Thurs!N63+'Tues '!N63+Wed!N63+Fri!N63+'Mon '!N63+'Wed (2)'!N63+Sun!N63+Sat!N63)</f>
        <v>0</v>
      </c>
      <c r="O63" s="103">
        <f>('Thurs (2)'!O63+Thurs!O63+'Tues '!O63+Wed!O63+Fri!O63+'Mon '!O63+'Wed (2)'!O63+Sun!O63+Sat!O63)</f>
        <v>0</v>
      </c>
      <c r="P63" s="103">
        <f>('Thurs (2)'!P63+Thurs!P63+'Tues '!P63+Wed!P63+Fri!P63+'Mon '!P63+'Wed (2)'!P63+Sun!P63+Sat!P63)</f>
        <v>0</v>
      </c>
      <c r="Q63" s="103">
        <f>('Thurs (2)'!Q63+Thurs!Q63+'Tues '!Q63+Wed!Q63+Fri!Q63+'Mon '!Q63+'Wed (2)'!Q63+Sun!Q63+Sat!Q63)</f>
        <v>0</v>
      </c>
      <c r="R63" s="103">
        <f>('Thurs (2)'!R63+Thurs!R63+'Tues '!R63+Wed!R63+Fri!R63+'Mon '!R63+'Wed (2)'!R63+Sun!R63+Sat!R63)</f>
        <v>0</v>
      </c>
      <c r="S63" s="103">
        <f>('Thurs (2)'!S63+Thurs!S63+'Tues '!S63+Wed!S63+Fri!S63+'Mon '!S63+'Wed (2)'!S63+Sun!S63+Sat!S63)</f>
        <v>0</v>
      </c>
      <c r="T63" s="103">
        <f>('Thurs (2)'!T63+Thurs!T63+'Tues '!T63+Wed!T63+Fri!T63+'Mon '!T63+'Wed (2)'!T63+Sun!T63+Sat!T63)</f>
        <v>0</v>
      </c>
      <c r="U63" s="145">
        <f t="shared" si="4"/>
        <v>0</v>
      </c>
      <c r="V63" s="145">
        <f t="shared" si="5"/>
        <v>0</v>
      </c>
      <c r="W63" s="146"/>
    </row>
    <row r="64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>
        <f>('Thurs (2)'!G64+Thurs!G64+'Tues '!G64+Wed!G64+Fri!G64+'Mon '!G64+'Wed (2)'!G64+Sun!G64+Sat!G64)</f>
        <v>0</v>
      </c>
      <c r="H64" s="103">
        <f>('Thurs (2)'!H64+Thurs!H64+'Tues '!H64+Wed!H64+Fri!H64+'Mon '!H64+'Wed (2)'!H64+Sun!H64+Sat!H64)</f>
        <v>0</v>
      </c>
      <c r="I64" s="103">
        <f>('Thurs (2)'!I64+Thurs!I64+'Tues '!I64+Wed!I64+Fri!I64+'Mon '!I64+'Wed (2)'!I64+Sun!I64+Sat!I64)</f>
        <v>0</v>
      </c>
      <c r="J64" s="103">
        <f>('Thurs (2)'!J64+Thurs!J64+'Tues '!J64+Wed!J64+Fri!J64+'Mon '!J64+'Wed (2)'!J64+Sun!J64+Sat!J64)</f>
        <v>0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0</v>
      </c>
      <c r="N64" s="103">
        <f>('Thurs (2)'!N64+Thurs!N64+'Tues '!N64+Wed!N64+Fri!N64+'Mon '!N64+'Wed (2)'!N64+Sun!N64+Sat!N64)</f>
        <v>0</v>
      </c>
      <c r="O64" s="103">
        <f>('Thurs (2)'!O64+Thurs!O64+'Tues '!O64+Wed!O64+Fri!O64+'Mon '!O64+'Wed (2)'!O64+Sun!O64+Sat!O64)</f>
        <v>0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0</v>
      </c>
      <c r="S64" s="103">
        <f>('Thurs (2)'!S64+Thurs!S64+'Tues '!S64+Wed!S64+Fri!S64+'Mon '!S64+'Wed (2)'!S64+Sun!S64+Sat!S64)</f>
        <v>0</v>
      </c>
      <c r="T64" s="103">
        <f>('Thurs (2)'!T64+Thurs!T64+'Tues '!T64+Wed!T64+Fri!T64+'Mon '!T64+'Wed (2)'!T64+Sun!T64+Sat!T64)</f>
        <v>0</v>
      </c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>
        <f>('Thurs (2)'!G65+Thurs!G65+'Tues '!G65+Wed!G65+Fri!G65+'Mon '!G65+'Wed (2)'!G65+Sun!G65+Sat!G65)</f>
        <v>0</v>
      </c>
      <c r="H65" s="103">
        <f>('Thurs (2)'!H65+Thurs!H65+'Tues '!H65+Wed!H65+Fri!H65+'Mon '!H65+'Wed (2)'!H65+Sun!H65+Sat!H65)</f>
        <v>0</v>
      </c>
      <c r="I65" s="103">
        <f>('Thurs (2)'!I65+Thurs!I65+'Tues '!I65+Wed!I65+Fri!I65+'Mon '!I65+'Wed (2)'!I65+Sun!I65+Sat!I65)</f>
        <v>0</v>
      </c>
      <c r="J65" s="103">
        <f>('Thurs (2)'!J65+Thurs!J65+'Tues '!J65+Wed!J65+Fri!J65+'Mon '!J65+'Wed (2)'!J65+Sun!J65+Sat!J65)</f>
        <v>0</v>
      </c>
      <c r="K65" s="103">
        <f>('Thurs (2)'!K65+Thurs!K65+'Tues '!K65+Wed!K65+Fri!K65+'Mon '!K65+'Wed (2)'!K65+Sun!K65+Sat!K65)</f>
        <v>0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0</v>
      </c>
      <c r="N65" s="103">
        <f>('Thurs (2)'!N65+Thurs!N65+'Tues '!N65+Wed!N65+Fri!N65+'Mon '!N65+'Wed (2)'!N65+Sun!N65+Sat!N65)</f>
        <v>0</v>
      </c>
      <c r="O65" s="103">
        <f>('Thurs (2)'!O65+Thurs!O65+'Tues '!O65+Wed!O65+Fri!O65+'Mon '!O65+'Wed (2)'!O65+Sun!O65+Sat!O65)</f>
        <v>0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0</v>
      </c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>
        <f>('Thurs (2)'!G66+Thurs!G66+'Tues '!G66+Wed!G66+Fri!G66+'Mon '!G66+'Wed (2)'!G66+Sun!G66+Sat!G66)</f>
        <v>0</v>
      </c>
      <c r="H66" s="103">
        <f>('Thurs (2)'!H66+Thurs!H66+'Tues '!H66+Wed!H66+Fri!H66+'Mon '!H66+'Wed (2)'!H66+Sun!H66+Sat!H66)</f>
        <v>0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0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0</v>
      </c>
      <c r="N66" s="103">
        <f>('Thurs (2)'!N66+Thurs!N66+'Tues '!N66+Wed!N66+Fri!N66+'Mon '!N66+'Wed (2)'!N66+Sun!N66+Sat!N66)</f>
        <v>0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>
        <f>('Thurs (2)'!G68+Thurs!G68+'Tues '!G68+Wed!G68+Fri!G68+'Mon '!G68+'Wed (2)'!G68+Sun!G68+Sat!G68)</f>
        <v>0</v>
      </c>
      <c r="H68" s="103">
        <f>('Thurs (2)'!H68+Thurs!H68+'Tues '!H68+Wed!H68+Fri!H68+'Mon '!H68+'Wed (2)'!H68+Sun!H68+Sat!H68)</f>
        <v>0</v>
      </c>
      <c r="I68" s="103">
        <f>('Thurs (2)'!I68+Thurs!I68+'Tues '!I68+Wed!I68+Fri!I68+'Mon '!I68+'Wed (2)'!I68+Sun!I68+Sat!I68)</f>
        <v>0</v>
      </c>
      <c r="J68" s="103">
        <f>('Thurs (2)'!J68+Thurs!J68+'Tues '!J68+Wed!J68+Fri!J68+'Mon '!J68+'Wed (2)'!J68+Sun!J68+Sat!J68)</f>
        <v>0</v>
      </c>
      <c r="K68" s="103">
        <f>('Thurs (2)'!K68+Thurs!K68+'Tues '!K68+Wed!K68+Fri!K68+'Mon '!K68+'Wed (2)'!K68+Sun!K68+Sat!K68)</f>
        <v>0</v>
      </c>
      <c r="L68" s="103">
        <f>('Thurs (2)'!L68+Thurs!L68+'Tues '!L68+Wed!L68+Fri!L68+'Mon '!L68+'Wed (2)'!L68+Sun!L68+Sat!L68)</f>
        <v>0</v>
      </c>
      <c r="M68" s="103">
        <f>('Thurs (2)'!M68+Thurs!M68+'Tues '!M68+Wed!M68+Fri!M68+'Mon '!M68+'Wed (2)'!M68+Sun!M68+Sat!M68)</f>
        <v>0</v>
      </c>
      <c r="N68" s="103">
        <f>('Thurs (2)'!N68+Thurs!N68+'Tues '!N68+Wed!N68+Fri!N68+'Mon '!N68+'Wed (2)'!N68+Sun!N68+Sat!N68)</f>
        <v>0</v>
      </c>
      <c r="O68" s="103">
        <f>('Thurs (2)'!O68+Thurs!O68+'Tues '!O68+Wed!O68+Fri!O68+'Mon '!O68+'Wed (2)'!O68+Sun!O68+Sat!O68)</f>
        <v>0</v>
      </c>
      <c r="P68" s="103">
        <f>('Thurs (2)'!P68+Thurs!P68+'Tues '!P68+Wed!P68+Fri!P68+'Mon '!P68+'Wed (2)'!P68+Sun!P68+Sat!P68)</f>
        <v>0</v>
      </c>
      <c r="Q68" s="103">
        <f>('Thurs (2)'!Q68+Thurs!Q68+'Tues '!Q68+Wed!Q68+Fri!Q68+'Mon '!Q68+'Wed (2)'!Q68+Sun!Q68+Sat!Q68)</f>
        <v>0</v>
      </c>
      <c r="R68" s="103">
        <f>('Thurs (2)'!R68+Thurs!R68+'Tues '!R68+Wed!R68+Fri!R68+'Mon '!R68+'Wed (2)'!R68+Sun!R68+Sat!R68)</f>
        <v>0</v>
      </c>
      <c r="S68" s="103">
        <f>('Thurs (2)'!S68+Thurs!S68+'Tues '!S68+Wed!S68+Fri!S68+'Mon '!S68+'Wed (2)'!S68+Sun!S68+Sat!S68)</f>
        <v>0</v>
      </c>
      <c r="T68" s="103">
        <f>('Thurs (2)'!T68+Thurs!T68+'Tues '!T68+Wed!T68+Fri!T68+'Mon '!T68+'Wed (2)'!T68+Sun!T68+Sat!T68)</f>
        <v>0</v>
      </c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>
        <f>('Thurs (2)'!G69+Thurs!G69+'Tues '!G69+Wed!G69+Fri!G69+'Mon '!G69+'Wed (2)'!G69+Sun!G69+Sat!G69)</f>
        <v>0</v>
      </c>
      <c r="H69" s="103">
        <f>('Thurs (2)'!H69+Thurs!H69+'Tues '!H69+Wed!H69+Fri!H69+'Mon '!H69+'Wed (2)'!H69+Sun!H69+Sat!H69)</f>
        <v>0</v>
      </c>
      <c r="I69" s="103">
        <f>('Thurs (2)'!I69+Thurs!I69+'Tues '!I69+Wed!I69+Fri!I69+'Mon '!I69+'Wed (2)'!I69+Sun!I69+Sat!I69)</f>
        <v>0</v>
      </c>
      <c r="J69" s="103">
        <f>('Thurs (2)'!J69+Thurs!J69+'Tues '!J69+Wed!J69+Fri!J69+'Mon '!J69+'Wed (2)'!J69+Sun!J69+Sat!J69)</f>
        <v>0</v>
      </c>
      <c r="K69" s="103">
        <f>('Thurs (2)'!K69+Thurs!K69+'Tues '!K69+Wed!K69+Fri!K69+'Mon '!K69+'Wed (2)'!K69+Sun!K69+Sat!K69)</f>
        <v>0</v>
      </c>
      <c r="L69" s="103">
        <f>('Thurs (2)'!L69+Thurs!L69+'Tues '!L69+Wed!L69+Fri!L69+'Mon '!L69+'Wed (2)'!L69+Sun!L69+Sat!L69)</f>
        <v>0</v>
      </c>
      <c r="M69" s="103">
        <f>('Thurs (2)'!M69+Thurs!M69+'Tues '!M69+Wed!M69+Fri!M69+'Mon '!M69+'Wed (2)'!M69+Sun!M69+Sat!M69)</f>
        <v>0</v>
      </c>
      <c r="N69" s="103">
        <f>('Thurs (2)'!N69+Thurs!N69+'Tues '!N69+Wed!N69+Fri!N69+'Mon '!N69+'Wed (2)'!N69+Sun!N69+Sat!N69)</f>
        <v>0</v>
      </c>
      <c r="O69" s="103">
        <f>('Thurs (2)'!O69+Thurs!O69+'Tues '!O69+Wed!O69+Fri!O69+'Mon '!O69+'Wed (2)'!O69+Sun!O69+Sat!O69)</f>
        <v>0</v>
      </c>
      <c r="P69" s="103">
        <f>('Thurs (2)'!P69+Thurs!P69+'Tues '!P69+Wed!P69+Fri!P69+'Mon '!P69+'Wed (2)'!P69+Sun!P69+Sat!P69)</f>
        <v>0</v>
      </c>
      <c r="Q69" s="103">
        <f>('Thurs (2)'!Q69+Thurs!Q69+'Tues '!Q69+Wed!Q69+Fri!Q69+'Mon '!Q69+'Wed (2)'!Q69+Sun!Q69+Sat!Q69)</f>
        <v>0</v>
      </c>
      <c r="R69" s="103">
        <f>('Thurs (2)'!R69+Thurs!R69+'Tues '!R69+Wed!R69+Fri!R69+'Mon '!R69+'Wed (2)'!R69+Sun!R69+Sat!R69)</f>
        <v>0</v>
      </c>
      <c r="S69" s="103">
        <f>('Thurs (2)'!S69+Thurs!S69+'Tues '!S69+Wed!S69+Fri!S69+'Mon '!S69+'Wed (2)'!S69+Sun!S69+Sat!S69)</f>
        <v>0</v>
      </c>
      <c r="T69" s="103">
        <f>('Thurs (2)'!T69+Thurs!T69+'Tues '!T69+Wed!T69+Fri!T69+'Mon '!T69+'Wed (2)'!T69+Sun!T69+Sat!T69)</f>
        <v>0</v>
      </c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>
        <f>('Thurs (2)'!G70+Thurs!G70+'Tues '!G70+Wed!G70+Fri!G70+'Mon '!G70+'Wed (2)'!G70+Sun!G70+Sat!G70)</f>
        <v>0</v>
      </c>
      <c r="H70" s="103">
        <f>('Thurs (2)'!H70+Thurs!H70+'Tues '!H70+Wed!H70+Fri!H70+'Mon '!H70+'Wed (2)'!H70+Sun!H70+Sat!H70)</f>
        <v>0</v>
      </c>
      <c r="I70" s="103">
        <f>('Thurs (2)'!I70+Thurs!I70+'Tues '!I70+Wed!I70+Fri!I70+'Mon '!I70+'Wed (2)'!I70+Sun!I70+Sat!I70)</f>
        <v>0</v>
      </c>
      <c r="J70" s="103">
        <f>('Thurs (2)'!J70+Thurs!J70+'Tues '!J70+Wed!J70+Fri!J70+'Mon '!J70+'Wed (2)'!J70+Sun!J70+Sat!J70)</f>
        <v>0</v>
      </c>
      <c r="K70" s="103">
        <f>('Thurs (2)'!K70+Thurs!K70+'Tues '!K70+Wed!K70+Fri!K70+'Mon '!K70+'Wed (2)'!K70+Sun!K70+Sat!K70)</f>
        <v>0</v>
      </c>
      <c r="L70" s="103">
        <f>('Thurs (2)'!L70+Thurs!L70+'Tues '!L70+Wed!L70+Fri!L70+'Mon '!L70+'Wed (2)'!L70+Sun!L70+Sat!L70)</f>
        <v>0</v>
      </c>
      <c r="M70" s="103">
        <f>('Thurs (2)'!M70+Thurs!M70+'Tues '!M70+Wed!M70+Fri!M70+'Mon '!M70+'Wed (2)'!M70+Sun!M70+Sat!M70)</f>
        <v>0</v>
      </c>
      <c r="N70" s="103">
        <f>('Thurs (2)'!N70+Thurs!N70+'Tues '!N70+Wed!N70+Fri!N70+'Mon '!N70+'Wed (2)'!N70+Sun!N70+Sat!N70)</f>
        <v>0</v>
      </c>
      <c r="O70" s="103">
        <f>('Thurs (2)'!O70+Thurs!O70+'Tues '!O70+Wed!O70+Fri!O70+'Mon '!O70+'Wed (2)'!O70+Sun!O70+Sat!O70)</f>
        <v>0</v>
      </c>
      <c r="P70" s="103">
        <f>('Thurs (2)'!P70+Thurs!P70+'Tues '!P70+Wed!P70+Fri!P70+'Mon '!P70+'Wed (2)'!P70+Sun!P70+Sat!P70)</f>
        <v>0</v>
      </c>
      <c r="Q70" s="103">
        <f>('Thurs (2)'!Q70+Thurs!Q70+'Tues '!Q70+Wed!Q70+Fri!Q70+'Mon '!Q70+'Wed (2)'!Q70+Sun!Q70+Sat!Q70)</f>
        <v>0</v>
      </c>
      <c r="R70" s="103">
        <f>('Thurs (2)'!R70+Thurs!R70+'Tues '!R70+Wed!R70+Fri!R70+'Mon '!R70+'Wed (2)'!R70+Sun!R70+Sat!R70)</f>
        <v>0</v>
      </c>
      <c r="S70" s="103">
        <f>('Thurs (2)'!S70+Thurs!S70+'Tues '!S70+Wed!S70+Fri!S70+'Mon '!S70+'Wed (2)'!S70+Sun!S70+Sat!S70)</f>
        <v>0</v>
      </c>
      <c r="T70" s="103">
        <f>('Thurs (2)'!T70+Thurs!T70+'Tues '!T70+Wed!T70+Fri!T70+'Mon '!T70+'Wed (2)'!T70+Sun!T70+Sat!T70)</f>
        <v>0</v>
      </c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>
        <f>('Thurs (2)'!G71+Thurs!G71+'Tues '!G71+Wed!G71+Fri!G71+'Mon '!G71+'Wed (2)'!G71+Sun!G71+Sat!G71)</f>
        <v>0</v>
      </c>
      <c r="H71" s="103">
        <f>('Thurs (2)'!H71+Thurs!H71+'Tues '!H71+Wed!H71+Fri!H71+'Mon '!H71+'Wed (2)'!H71+Sun!H71+Sat!H71)</f>
        <v>0</v>
      </c>
      <c r="I71" s="103">
        <f>('Thurs (2)'!I71+Thurs!I71+'Tues '!I71+Wed!I71+Fri!I71+'Mon '!I71+'Wed (2)'!I71+Sun!I71+Sat!I71)</f>
        <v>0</v>
      </c>
      <c r="J71" s="103">
        <f>('Thurs (2)'!J71+Thurs!J71+'Tues '!J71+Wed!J71+Fri!J71+'Mon '!J71+'Wed (2)'!J71+Sun!J71+Sat!J71)</f>
        <v>0</v>
      </c>
      <c r="K71" s="103">
        <f>('Thurs (2)'!K71+Thurs!K71+'Tues '!K71+Wed!K71+Fri!K71+'Mon '!K71+'Wed (2)'!K71+Sun!K71+Sat!K71)</f>
        <v>0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0</v>
      </c>
      <c r="N71" s="103">
        <f>('Thurs (2)'!N71+Thurs!N71+'Tues '!N71+Wed!N71+Fri!N71+'Mon '!N71+'Wed (2)'!N71+Sun!N71+Sat!N71)</f>
        <v>0</v>
      </c>
      <c r="O71" s="103">
        <f>('Thurs (2)'!O71+Thurs!O71+'Tues '!O71+Wed!O71+Fri!O71+'Mon '!O71+'Wed (2)'!O71+Sun!O71+Sat!O71)</f>
        <v>0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0</v>
      </c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>
        <f>('Thurs (2)'!G73+Thurs!G73+'Tues '!G73+Wed!G73+Fri!G73+'Mon '!G73+'Wed (2)'!G73+Sun!G73+Sat!G73)</f>
        <v>0</v>
      </c>
      <c r="H73" s="103">
        <f>('Thurs (2)'!H73+Thurs!H73+'Tues '!H73+Wed!H73+Fri!H73+'Mon '!H73+'Wed (2)'!H73+Sun!H73+Sat!H73)</f>
        <v>0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0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0</v>
      </c>
      <c r="N73" s="103">
        <f>('Thurs (2)'!N73+Thurs!N73+'Tues '!N73+Wed!N73+Fri!N73+'Mon '!N73+'Wed (2)'!N73+Sun!N73+Sat!N73)</f>
        <v>0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>
        <f>('Thurs (2)'!G74+Thurs!G74+'Tues '!G74+Wed!G74+Fri!G74+'Mon '!G74+'Wed (2)'!G74+Sun!G74+Sat!G74)</f>
        <v>0</v>
      </c>
      <c r="H74" s="103">
        <f>('Thurs (2)'!H74+Thurs!H74+'Tues '!H74+Wed!H74+Fri!H74+'Mon '!H74+'Wed (2)'!H74+Sun!H74+Sat!H74)</f>
        <v>0</v>
      </c>
      <c r="I74" s="103">
        <f>('Thurs (2)'!I74+Thurs!I74+'Tues '!I74+Wed!I74+Fri!I74+'Mon '!I74+'Wed (2)'!I74+Sun!I74+Sat!I74)</f>
        <v>0</v>
      </c>
      <c r="J74" s="103">
        <f>('Thurs (2)'!J74+Thurs!J74+'Tues '!J74+Wed!J74+Fri!J74+'Mon '!J74+'Wed (2)'!J74+Sun!J74+Sat!J74)</f>
        <v>0</v>
      </c>
      <c r="K74" s="103">
        <f>('Thurs (2)'!K74+Thurs!K74+'Tues '!K74+Wed!K74+Fri!K74+'Mon '!K74+'Wed (2)'!K74+Sun!K74+Sat!K74)</f>
        <v>0</v>
      </c>
      <c r="L74" s="103">
        <f>('Thurs (2)'!L74+Thurs!L74+'Tues '!L74+Wed!L74+Fri!L74+'Mon '!L74+'Wed (2)'!L74+Sun!L74+Sat!L74)</f>
        <v>0</v>
      </c>
      <c r="M74" s="103">
        <f>('Thurs (2)'!M74+Thurs!M74+'Tues '!M74+Wed!M74+Fri!M74+'Mon '!M74+'Wed (2)'!M74+Sun!M74+Sat!M74)</f>
        <v>0</v>
      </c>
      <c r="N74" s="103">
        <f>('Thurs (2)'!N74+Thurs!N74+'Tues '!N74+Wed!N74+Fri!N74+'Mon '!N74+'Wed (2)'!N74+Sun!N74+Sat!N74)</f>
        <v>0</v>
      </c>
      <c r="O74" s="103">
        <f>('Thurs (2)'!O74+Thurs!O74+'Tues '!O74+Wed!O74+Fri!O74+'Mon '!O74+'Wed (2)'!O74+Sun!O74+Sat!O74)</f>
        <v>0</v>
      </c>
      <c r="P74" s="103">
        <f>('Thurs (2)'!P74+Thurs!P74+'Tues '!P74+Wed!P74+Fri!P74+'Mon '!P74+'Wed (2)'!P74+Sun!P74+Sat!P74)</f>
        <v>0</v>
      </c>
      <c r="Q74" s="103">
        <f>('Thurs (2)'!Q74+Thurs!Q74+'Tues '!Q74+Wed!Q74+Fri!Q74+'Mon '!Q74+'Wed (2)'!Q74+Sun!Q74+Sat!Q74)</f>
        <v>0</v>
      </c>
      <c r="R74" s="103">
        <f>('Thurs (2)'!R74+Thurs!R74+'Tues '!R74+Wed!R74+Fri!R74+'Mon '!R74+'Wed (2)'!R74+Sun!R74+Sat!R74)</f>
        <v>0</v>
      </c>
      <c r="S74" s="103">
        <f>('Thurs (2)'!S74+Thurs!S74+'Tues '!S74+Wed!S74+Fri!S74+'Mon '!S74+'Wed (2)'!S74+Sun!S74+Sat!S74)</f>
        <v>0</v>
      </c>
      <c r="T74" s="103">
        <f>('Thurs (2)'!T74+Thurs!T74+'Tues '!T74+Wed!T74+Fri!T74+'Mon '!T74+'Wed (2)'!T74+Sun!T74+Sat!T74)</f>
        <v>0</v>
      </c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>
        <f>('Thurs (2)'!G75+Thurs!G75+'Tues '!G75+Wed!G75+Fri!G75+'Mon '!G75+'Wed (2)'!G75+Sun!G75+Sat!G75)</f>
        <v>0</v>
      </c>
      <c r="H75" s="103">
        <f>('Thurs (2)'!H75+Thurs!H75+'Tues '!H75+Wed!H75+Fri!H75+'Mon '!H75+'Wed (2)'!H75+Sun!H75+Sat!H75)</f>
        <v>0</v>
      </c>
      <c r="I75" s="103">
        <f>('Thurs (2)'!I75+Thurs!I75+'Tues '!I75+Wed!I75+Fri!I75+'Mon '!I75+'Wed (2)'!I75+Sun!I75+Sat!I75)</f>
        <v>0</v>
      </c>
      <c r="J75" s="103">
        <f>('Thurs (2)'!J75+Thurs!J75+'Tues '!J75+Wed!J75+Fri!J75+'Mon '!J75+'Wed (2)'!J75+Sun!J75+Sat!J75)</f>
        <v>0</v>
      </c>
      <c r="K75" s="103">
        <f>('Thurs (2)'!K75+Thurs!K75+'Tues '!K75+Wed!K75+Fri!K75+'Mon '!K75+'Wed (2)'!K75+Sun!K75+Sat!K75)</f>
        <v>0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0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0</v>
      </c>
      <c r="S75" s="103">
        <f>('Thurs (2)'!S75+Thurs!S75+'Tues '!S75+Wed!S75+Fri!S75+'Mon '!S75+'Wed (2)'!S75+Sun!S75+Sat!S75)</f>
        <v>0</v>
      </c>
      <c r="T75" s="103">
        <f>('Thurs (2)'!T75+Thurs!T75+'Tues '!T75+Wed!T75+Fri!T75+'Mon '!T75+'Wed (2)'!T75+Sun!T75+Sat!T75)</f>
        <v>0</v>
      </c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>
        <f>('Thurs (2)'!G76+Thurs!G76+'Tues '!G76+Wed!G76+Fri!G76+'Mon '!G76+'Wed (2)'!G76+Sun!G76+Sat!G76)</f>
        <v>0</v>
      </c>
      <c r="H76" s="103">
        <f>('Thurs (2)'!H76+Thurs!H76+'Tues '!H76+Wed!H76+Fri!H76+'Mon '!H76+'Wed (2)'!H76+Sun!H76+Sat!H76)</f>
        <v>0</v>
      </c>
      <c r="I76" s="103">
        <f>('Thurs (2)'!I76+Thurs!I76+'Tues '!I76+Wed!I76+Fri!I76+'Mon '!I76+'Wed (2)'!I76+Sun!I76+Sat!I76)</f>
        <v>0</v>
      </c>
      <c r="J76" s="103">
        <f>('Thurs (2)'!J76+Thurs!J76+'Tues '!J76+Wed!J76+Fri!J76+'Mon '!J76+'Wed (2)'!J76+Sun!J76+Sat!J76)</f>
        <v>0</v>
      </c>
      <c r="K76" s="103">
        <f>('Thurs (2)'!K76+Thurs!K76+'Tues '!K76+Wed!K76+Fri!K76+'Mon '!K76+'Wed (2)'!K76+Sun!K76+Sat!K76)</f>
        <v>0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0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0</v>
      </c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>
        <f>('Thurs (2)'!G79+Thurs!G79+'Tues '!G79+Wed!G79+Fri!G79+'Mon '!G79+'Wed (2)'!G79+Sun!G79+Sat!G79)</f>
        <v>0</v>
      </c>
      <c r="H79" s="103">
        <f>('Thurs (2)'!H79+Thurs!H79+'Tues '!H79+Wed!H79+Fri!H79+'Mon '!H79+'Wed (2)'!H79+Sun!H79+Sat!H79)</f>
        <v>0</v>
      </c>
      <c r="I79" s="103">
        <f>('Thurs (2)'!I79+Thurs!I79+'Tues '!I79+Wed!I79+Fri!I79+'Mon '!I79+'Wed (2)'!I79+Sun!I79+Sat!I79)</f>
        <v>0</v>
      </c>
      <c r="J79" s="103">
        <f>('Thurs (2)'!J79+Thurs!J79+'Tues '!J79+Wed!J79+Fri!J79+'Mon '!J79+'Wed (2)'!J79+Sun!J79+Sat!J79)</f>
        <v>0</v>
      </c>
      <c r="K79" s="103">
        <f>('Thurs (2)'!K79+Thurs!K79+'Tues '!K79+Wed!K79+Fri!K79+'Mon '!K79+'Wed (2)'!K79+Sun!K79+Sat!K79)</f>
        <v>0</v>
      </c>
      <c r="L79" s="103">
        <f>('Thurs (2)'!L79+Thurs!L79+'Tues '!L79+Wed!L79+Fri!L79+'Mon '!L79+'Wed (2)'!L79+Sun!L79+Sat!L79)</f>
        <v>0</v>
      </c>
      <c r="M79" s="103">
        <f>('Thurs (2)'!M79+Thurs!M79+'Tues '!M79+Wed!M79+Fri!M79+'Mon '!M79+'Wed (2)'!M79+Sun!M79+Sat!M79)</f>
        <v>0</v>
      </c>
      <c r="N79" s="103">
        <f>('Thurs (2)'!N79+Thurs!N79+'Tues '!N79+Wed!N79+Fri!N79+'Mon '!N79+'Wed (2)'!N79+Sun!N79+Sat!N79)</f>
        <v>0</v>
      </c>
      <c r="O79" s="103">
        <f>('Thurs (2)'!O79+Thurs!O79+'Tues '!O79+Wed!O79+Fri!O79+'Mon '!O79+'Wed (2)'!O79+Sun!O79+Sat!O79)</f>
        <v>0</v>
      </c>
      <c r="P79" s="103">
        <f>('Thurs (2)'!P79+Thurs!P79+'Tues '!P79+Wed!P79+Fri!P79+'Mon '!P79+'Wed (2)'!P79+Sun!P79+Sat!P79)</f>
        <v>0</v>
      </c>
      <c r="Q79" s="103">
        <f>('Thurs (2)'!Q79+Thurs!Q79+'Tues '!Q79+Wed!Q79+Fri!Q79+'Mon '!Q79+'Wed (2)'!Q79+Sun!Q79+Sat!Q79)</f>
        <v>0</v>
      </c>
      <c r="R79" s="103">
        <f>('Thurs (2)'!R79+Thurs!R79+'Tues '!R79+Wed!R79+Fri!R79+'Mon '!R79+'Wed (2)'!R79+Sun!R79+Sat!R79)</f>
        <v>0</v>
      </c>
      <c r="S79" s="103">
        <f>('Thurs (2)'!S79+Thurs!S79+'Tues '!S79+Wed!S79+Fri!S79+'Mon '!S79+'Wed (2)'!S79+Sun!S79+Sat!S79)</f>
        <v>0</v>
      </c>
      <c r="T79" s="103">
        <f>('Thurs (2)'!T79+Thurs!T79+'Tues '!T79+Wed!T79+Fri!T79+'Mon '!T79+'Wed (2)'!T79+Sun!T79+Sat!T79)</f>
        <v>0</v>
      </c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>
        <f>('Thurs (2)'!G80+Thurs!G80+'Tues '!G80+Wed!G80+Fri!G80+'Mon '!G80+'Wed (2)'!G80+Sun!G80+Sat!G80)</f>
        <v>0</v>
      </c>
      <c r="H80" s="103">
        <f>('Thurs (2)'!H80+Thurs!H80+'Tues '!H80+Wed!H80+Fri!H80+'Mon '!H80+'Wed (2)'!H80+Sun!H80+Sat!H80)</f>
        <v>0</v>
      </c>
      <c r="I80" s="103">
        <f>('Thurs (2)'!I80+Thurs!I80+'Tues '!I80+Wed!I80+Fri!I80+'Mon '!I80+'Wed (2)'!I80+Sun!I80+Sat!I80)</f>
        <v>0</v>
      </c>
      <c r="J80" s="103">
        <f>('Thurs (2)'!J80+Thurs!J80+'Tues '!J80+Wed!J80+Fri!J80+'Mon '!J80+'Wed (2)'!J80+Sun!J80+Sat!J80)</f>
        <v>0</v>
      </c>
      <c r="K80" s="103">
        <f>('Thurs (2)'!K80+Thurs!K80+'Tues '!K80+Wed!K80+Fri!K80+'Mon '!K80+'Wed (2)'!K80+Sun!K80+Sat!K80)</f>
        <v>0</v>
      </c>
      <c r="L80" s="103">
        <f>('Thurs (2)'!L80+Thurs!L80+'Tues '!L80+Wed!L80+Fri!L80+'Mon '!L80+'Wed (2)'!L80+Sun!L80+Sat!L80)</f>
        <v>0</v>
      </c>
      <c r="M80" s="103">
        <f>('Thurs (2)'!M80+Thurs!M80+'Tues '!M80+Wed!M80+Fri!M80+'Mon '!M80+'Wed (2)'!M80+Sun!M80+Sat!M80)</f>
        <v>0</v>
      </c>
      <c r="N80" s="103">
        <f>('Thurs (2)'!N80+Thurs!N80+'Tues '!N80+Wed!N80+Fri!N80+'Mon '!N80+'Wed (2)'!N80+Sun!N80+Sat!N80)</f>
        <v>0</v>
      </c>
      <c r="O80" s="103">
        <f>('Thurs (2)'!O80+Thurs!O80+'Tues '!O80+Wed!O80+Fri!O80+'Mon '!O80+'Wed (2)'!O80+Sun!O80+Sat!O80)</f>
        <v>0</v>
      </c>
      <c r="P80" s="103">
        <f>('Thurs (2)'!P80+Thurs!P80+'Tues '!P80+Wed!P80+Fri!P80+'Mon '!P80+'Wed (2)'!P80+Sun!P80+Sat!P80)</f>
        <v>0</v>
      </c>
      <c r="Q80" s="103">
        <f>('Thurs (2)'!Q80+Thurs!Q80+'Tues '!Q80+Wed!Q80+Fri!Q80+'Mon '!Q80+'Wed (2)'!Q80+Sun!Q80+Sat!Q80)</f>
        <v>0</v>
      </c>
      <c r="R80" s="103">
        <f>('Thurs (2)'!R80+Thurs!R80+'Tues '!R80+Wed!R80+Fri!R80+'Mon '!R80+'Wed (2)'!R80+Sun!R80+Sat!R80)</f>
        <v>0</v>
      </c>
      <c r="S80" s="103">
        <f>('Thurs (2)'!S80+Thurs!S80+'Tues '!S80+Wed!S80+Fri!S80+'Mon '!S80+'Wed (2)'!S80+Sun!S80+Sat!S80)</f>
        <v>0</v>
      </c>
      <c r="T80" s="103">
        <f>('Thurs (2)'!T80+Thurs!T80+'Tues '!T80+Wed!T80+Fri!T80+'Mon '!T80+'Wed (2)'!T80+Sun!T80+Sat!T80)</f>
        <v>0</v>
      </c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03">
        <f>('Thurs (2)'!G81+Thurs!G81+'Tues '!G81+Wed!G81+Fri!G81+'Mon '!G81+'Wed (2)'!G81+Sun!G81+Sat!G81)</f>
        <v>5</v>
      </c>
      <c r="H81" s="103">
        <f>('Thurs (2)'!H81+Thurs!H81+'Tues '!H81+Wed!H81+Fri!H81+'Mon '!H81+'Wed (2)'!H81+Sun!H81+Sat!H81)</f>
        <v>4</v>
      </c>
      <c r="I81" s="103">
        <f>('Thurs (2)'!I81+Thurs!I81+'Tues '!I81+Wed!I81+Fri!I81+'Mon '!I81+'Wed (2)'!I81+Sun!I81+Sat!I81)</f>
        <v>5</v>
      </c>
      <c r="J81" s="103">
        <f>('Thurs (2)'!J81+Thurs!J81+'Tues '!J81+Wed!J81+Fri!J81+'Mon '!J81+'Wed (2)'!J81+Sun!J81+Sat!J81)</f>
        <v>2</v>
      </c>
      <c r="K81" s="103">
        <f>('Thurs (2)'!K81+Thurs!K81+'Tues '!K81+Wed!K81+Fri!K81+'Mon '!K81+'Wed (2)'!K81+Sun!K81+Sat!K81)</f>
        <v>2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22</v>
      </c>
      <c r="N81" s="103">
        <f>('Thurs (2)'!N81+Thurs!N81+'Tues '!N81+Wed!N81+Fri!N81+'Mon '!N81+'Wed (2)'!N81+Sun!N81+Sat!N81)</f>
        <v>4</v>
      </c>
      <c r="O81" s="103">
        <f>('Thurs (2)'!O81+Thurs!O81+'Tues '!O81+Wed!O81+Fri!O81+'Mon '!O81+'Wed (2)'!O81+Sun!O81+Sat!O81)</f>
        <v>5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2</v>
      </c>
      <c r="S81" s="103">
        <f>('Thurs (2)'!S81+Thurs!S81+'Tues '!S81+Wed!S81+Fri!S81+'Mon '!S81+'Wed (2)'!S81+Sun!S81+Sat!S81)</f>
        <v>2</v>
      </c>
      <c r="T81" s="103">
        <f>('Thurs (2)'!T81+Thurs!T81+'Tues '!T81+Wed!T81+Fri!T81+'Mon '!T81+'Wed (2)'!T81+Sun!T81+Sat!T81)</f>
        <v>8000.44</v>
      </c>
      <c r="U81" s="104">
        <f t="shared" si="8"/>
        <v>1.25</v>
      </c>
      <c r="V81" s="104">
        <f t="shared" si="9"/>
        <v>0.8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>
        <f>('Thurs (2)'!G82+Thurs!G82+'Tues '!G82+Wed!G82+Fri!G82+'Mon '!G82+'Wed (2)'!G82+Sun!G82+Sat!G82)</f>
        <v>0</v>
      </c>
      <c r="H82" s="103">
        <f>('Thurs (2)'!H82+Thurs!H82+'Tues '!H82+Wed!H82+Fri!H82+'Mon '!H82+'Wed (2)'!H82+Sun!H82+Sat!H82)</f>
        <v>0</v>
      </c>
      <c r="I82" s="103">
        <f>('Thurs (2)'!I82+Thurs!I82+'Tues '!I82+Wed!I82+Fri!I82+'Mon '!I82+'Wed (2)'!I82+Sun!I82+Sat!I82)</f>
        <v>0</v>
      </c>
      <c r="J82" s="103">
        <f>('Thurs (2)'!J82+Thurs!J82+'Tues '!J82+Wed!J82+Fri!J82+'Mon '!J82+'Wed (2)'!J82+Sun!J82+Sat!J82)</f>
        <v>0</v>
      </c>
      <c r="K82" s="103">
        <f>('Thurs (2)'!K82+Thurs!K82+'Tues '!K82+Wed!K82+Fri!K82+'Mon '!K82+'Wed (2)'!K82+Sun!K82+Sat!K82)</f>
        <v>0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0</v>
      </c>
      <c r="N82" s="103">
        <f>('Thurs (2)'!N82+Thurs!N82+'Tues '!N82+Wed!N82+Fri!N82+'Mon '!N82+'Wed (2)'!N82+Sun!N82+Sat!N82)</f>
        <v>0</v>
      </c>
      <c r="O82" s="103">
        <f>('Thurs (2)'!O82+Thurs!O82+'Tues '!O82+Wed!O82+Fri!O82+'Mon '!O82+'Wed (2)'!O82+Sun!O82+Sat!O82)</f>
        <v>0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0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03">
        <f>('Thurs (2)'!G83+Thurs!G83+'Tues '!G83+Wed!G83+Fri!G83+'Mon '!G83+'Wed (2)'!G83+Sun!G83+Sat!G83)</f>
        <v>0</v>
      </c>
      <c r="H83" s="103">
        <f>('Thurs (2)'!H83+Thurs!H83+'Tues '!H83+Wed!H83+Fri!H83+'Mon '!H83+'Wed (2)'!H83+Sun!H83+Sat!H83)</f>
        <v>0</v>
      </c>
      <c r="I83" s="103">
        <f>('Thurs (2)'!I83+Thurs!I83+'Tues '!I83+Wed!I83+Fri!I83+'Mon '!I83+'Wed (2)'!I83+Sun!I83+Sat!I83)</f>
        <v>0</v>
      </c>
      <c r="J83" s="103">
        <f>('Thurs (2)'!J83+Thurs!J83+'Tues '!J83+Wed!J83+Fri!J83+'Mon '!J83+'Wed (2)'!J83+Sun!J83+Sat!J83)</f>
        <v>0</v>
      </c>
      <c r="K83" s="103">
        <f>('Thurs (2)'!K83+Thurs!K83+'Tues '!K83+Wed!K83+Fri!K83+'Mon '!K83+'Wed (2)'!K83+Sun!K83+Sat!K83)</f>
        <v>0</v>
      </c>
      <c r="L83" s="103">
        <f>('Thurs (2)'!L83+Thurs!L83+'Tues '!L83+Wed!L83+Fri!L83+'Mon '!L83+'Wed (2)'!L83+Sun!L83+Sat!L83)</f>
        <v>0</v>
      </c>
      <c r="M83" s="103">
        <f>('Thurs (2)'!M83+Thurs!M83+'Tues '!M83+Wed!M83+Fri!M83+'Mon '!M83+'Wed (2)'!M83+Sun!M83+Sat!M83)</f>
        <v>0</v>
      </c>
      <c r="N83" s="103">
        <f>('Thurs (2)'!N83+Thurs!N83+'Tues '!N83+Wed!N83+Fri!N83+'Mon '!N83+'Wed (2)'!N83+Sun!N83+Sat!N83)</f>
        <v>0</v>
      </c>
      <c r="O83" s="103">
        <f>('Thurs (2)'!O83+Thurs!O83+'Tues '!O83+Wed!O83+Fri!O83+'Mon '!O83+'Wed (2)'!O83+Sun!O83+Sat!O83)</f>
        <v>0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0</v>
      </c>
      <c r="S83" s="103">
        <f>('Thurs (2)'!S83+Thurs!S83+'Tues '!S83+Wed!S83+Fri!S83+'Mon '!S83+'Wed (2)'!S83+Sun!S83+Sat!S83)</f>
        <v>0</v>
      </c>
      <c r="T83" s="103">
        <f>('Thurs (2)'!T83+Thurs!T83+'Tues '!T83+Wed!T83+Fri!T83+'Mon '!T83+'Wed (2)'!T83+Sun!T83+Sat!T83)</f>
        <v>0</v>
      </c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>
        <f>('Thurs (2)'!G85+Thurs!G85+'Tues '!G85+Wed!G85+Fri!G85+'Mon '!G85+'Wed (2)'!G85+Sun!G85+Sat!G85)</f>
        <v>0</v>
      </c>
      <c r="H85" s="103">
        <f>('Thurs (2)'!H85+Thurs!H85+'Tues '!H85+Wed!H85+Fri!H85+'Mon '!H85+'Wed (2)'!H85+Sun!H85+Sat!H85)</f>
        <v>0</v>
      </c>
      <c r="I85" s="103">
        <f>('Thurs (2)'!I85+Thurs!I85+'Tues '!I85+Wed!I85+Fri!I85+'Mon '!I85+'Wed (2)'!I85+Sun!I85+Sat!I85)</f>
        <v>0</v>
      </c>
      <c r="J85" s="103">
        <f>('Thurs (2)'!J85+Thurs!J85+'Tues '!J85+Wed!J85+Fri!J85+'Mon '!J85+'Wed (2)'!J85+Sun!J85+Sat!J85)</f>
        <v>0</v>
      </c>
      <c r="K85" s="103">
        <f>('Thurs (2)'!K85+Thurs!K85+'Tues '!K85+Wed!K85+Fri!K85+'Mon '!K85+'Wed (2)'!K85+Sun!K85+Sat!K85)</f>
        <v>0</v>
      </c>
      <c r="L85" s="103">
        <f>('Thurs (2)'!L85+Thurs!L85+'Tues '!L85+Wed!L85+Fri!L85+'Mon '!L85+'Wed (2)'!L85+Sun!L85+Sat!L85)</f>
        <v>0</v>
      </c>
      <c r="M85" s="103">
        <f>('Thurs (2)'!M85+Thurs!M85+'Tues '!M85+Wed!M85+Fri!M85+'Mon '!M85+'Wed (2)'!M85+Sun!M85+Sat!M85)</f>
        <v>0</v>
      </c>
      <c r="N85" s="103">
        <f>('Thurs (2)'!N85+Thurs!N85+'Tues '!N85+Wed!N85+Fri!N85+'Mon '!N85+'Wed (2)'!N85+Sun!N85+Sat!N85)</f>
        <v>0</v>
      </c>
      <c r="O85" s="103">
        <f>('Thurs (2)'!O85+Thurs!O85+'Tues '!O85+Wed!O85+Fri!O85+'Mon '!O85+'Wed (2)'!O85+Sun!O85+Sat!O85)</f>
        <v>0</v>
      </c>
      <c r="P85" s="103">
        <f>('Thurs (2)'!P85+Thurs!P85+'Tues '!P85+Wed!P85+Fri!P85+'Mon '!P85+'Wed (2)'!P85+Sun!P85+Sat!P85)</f>
        <v>0</v>
      </c>
      <c r="Q85" s="103">
        <f>('Thurs (2)'!Q85+Thurs!Q85+'Tues '!Q85+Wed!Q85+Fri!Q85+'Mon '!Q85+'Wed (2)'!Q85+Sun!Q85+Sat!Q85)</f>
        <v>0</v>
      </c>
      <c r="R85" s="103">
        <f>('Thurs (2)'!R85+Thurs!R85+'Tues '!R85+Wed!R85+Fri!R85+'Mon '!R85+'Wed (2)'!R85+Sun!R85+Sat!R85)</f>
        <v>0</v>
      </c>
      <c r="S85" s="103">
        <f>('Thurs (2)'!S85+Thurs!S85+'Tues '!S85+Wed!S85+Fri!S85+'Mon '!S85+'Wed (2)'!S85+Sun!S85+Sat!S85)</f>
        <v>0</v>
      </c>
      <c r="T85" s="103">
        <f>('Thurs (2)'!T85+Thurs!T85+'Tues '!T85+Wed!T85+Fri!T85+'Mon '!T85+'Wed (2)'!T85+Sun!T85+Sat!T85)</f>
        <v>0</v>
      </c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>
        <f>('Thurs (2)'!G86+Thurs!G86+'Tues '!G86+Wed!G86+Fri!G86+'Mon '!G86+'Wed (2)'!G86+Sun!G86+Sat!G86)</f>
        <v>20</v>
      </c>
      <c r="H86" s="103">
        <f>('Thurs (2)'!H86+Thurs!H86+'Tues '!H86+Wed!H86+Fri!H86+'Mon '!H86+'Wed (2)'!H86+Sun!H86+Sat!H86)</f>
        <v>20</v>
      </c>
      <c r="I86" s="103">
        <f>('Thurs (2)'!I86+Thurs!I86+'Tues '!I86+Wed!I86+Fri!I86+'Mon '!I86+'Wed (2)'!I86+Sun!I86+Sat!I86)</f>
        <v>5</v>
      </c>
      <c r="J86" s="103">
        <f>('Thurs (2)'!J86+Thurs!J86+'Tues '!J86+Wed!J86+Fri!J86+'Mon '!J86+'Wed (2)'!J86+Sun!J86+Sat!J86)</f>
        <v>5</v>
      </c>
      <c r="K86" s="103">
        <f>('Thurs (2)'!K86+Thurs!K86+'Tues '!K86+Wed!K86+Fri!K86+'Mon '!K86+'Wed (2)'!K86+Sun!M86+Sat!K86)</f>
        <v>43</v>
      </c>
      <c r="L86" s="103">
        <f>('Thurs (2)'!L86+Thurs!L86+'Tues '!L86+Wed!L86+Fri!L86+'Mon '!L86+'Wed (2)'!L86+Sun!L86+Sat!L86)</f>
        <v>0</v>
      </c>
      <c r="M86" s="103" t="str">
        <f>('Thurs (2)'!M86+Thurs!M86+'Tues '!M86+Wed!M86+Fri!M86+'Mon '!M86+'Wed (2)'!M86+#REF!+Sat!M86)</f>
        <v>#REF!</v>
      </c>
      <c r="N86" s="103">
        <f>('Thurs (2)'!N86+Thurs!N86+'Tues '!N86+Wed!N86+Fri!N86+'Mon '!N86+'Wed (2)'!N86+Sun!N86+Sat!N86)</f>
        <v>16</v>
      </c>
      <c r="O86" s="103">
        <f>('Thurs (2)'!O86+Thurs!O86+'Tues '!O86+Wed!O86+Fri!O86+'Mon '!O86+'Wed (2)'!O86+Sun!O86+Sat!O86)</f>
        <v>4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3</v>
      </c>
      <c r="S86" s="103">
        <f>('Thurs (2)'!S86+Thurs!S86+'Tues '!S86+Wed!S86+Fri!S86+'Mon '!S86+'Wed (2)'!S86+Sun!S86+Sat!S86)</f>
        <v>1</v>
      </c>
      <c r="T86" s="103">
        <f>('Thurs (2)'!T86+Thurs!T86+'Tues '!T86+Wed!T86+Fri!T86+'Mon '!T86+'Wed (2)'!T86+Sun!T86+Sat!T86)</f>
        <v>7020</v>
      </c>
      <c r="U86" s="104">
        <f t="shared" si="10"/>
        <v>0.25</v>
      </c>
      <c r="V86" s="104">
        <f t="shared" si="11"/>
        <v>1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>
        <f>('Thurs (2)'!G87+Thurs!G87+'Tues '!G87+Wed!G87+Fri!G87+'Mon '!G87+'Wed (2)'!G87+Sun!G87+Sat!G87)</f>
        <v>0</v>
      </c>
      <c r="H87" s="103">
        <f>('Thurs (2)'!H87+Thurs!H87+'Tues '!H87+Wed!H87+Fri!H87+'Mon '!H87+'Wed (2)'!H87+Sun!H87+Sat!H87)</f>
        <v>0</v>
      </c>
      <c r="I87" s="103">
        <f>('Thurs (2)'!I87+Thurs!I87+'Tues '!I87+Wed!I87+Fri!I87+'Mon '!I87+'Wed (2)'!I87+Sun!I87+Sat!I87)</f>
        <v>0</v>
      </c>
      <c r="J87" s="103">
        <f>('Thurs (2)'!J87+Thurs!J87+'Tues '!J87+Wed!J87+Fri!J87+'Mon '!J87+'Wed (2)'!J87+Sun!J87+Sat!J87)</f>
        <v>0</v>
      </c>
      <c r="K87" s="103">
        <f>('Thurs (2)'!K87+Thurs!K87+'Tues '!K87+Wed!K87+Fri!K87+'Mon '!K87+'Wed (2)'!K87+Sun!K87+Sat!K87)</f>
        <v>0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0</v>
      </c>
      <c r="N87" s="103">
        <f>('Thurs (2)'!N87+Thurs!N87+'Tues '!N87+Wed!N87+Fri!N87+'Mon '!N87+'Wed (2)'!N87+Sun!N87+Sat!N87)</f>
        <v>0</v>
      </c>
      <c r="O87" s="103">
        <f>('Thurs (2)'!O87+Thurs!O87+'Tues '!O87+Wed!O87+Fri!O87+'Mon '!O87+'Wed (2)'!O87+Sun!O87+Sat!O87)</f>
        <v>0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0</v>
      </c>
      <c r="S87" s="103">
        <f>('Thurs (2)'!S87+Thurs!S87+'Tues '!S87+Wed!S87+Fri!S87+'Mon '!S87+'Wed (2)'!S87+Sun!S87+Sat!S87)</f>
        <v>0</v>
      </c>
      <c r="T87" s="103">
        <f>('Thurs (2)'!T87+Thurs!T87+'Tues '!T87+Wed!T87+Fri!T87+'Mon '!T87+'Wed (2)'!T87+Sun!T87+Sat!T87)</f>
        <v>0</v>
      </c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>
        <f>('Thurs (2)'!G89+Thurs!G89+'Tues '!G89+Wed!G89+Fri!G89+'Mon '!G89+'Wed (2)'!G89+Sun!G89+Sat!G89)</f>
        <v>0</v>
      </c>
      <c r="H89" s="103">
        <f>('Thurs (2)'!H89+Thurs!H89+'Tues '!H89+Wed!H89+Fri!H89+'Mon '!H89+'Wed (2)'!H89+Sun!H89+Sat!H89)</f>
        <v>0</v>
      </c>
      <c r="I89" s="103">
        <f>('Thurs (2)'!I89+Thurs!I89+'Tues '!I89+Wed!I89+Fri!I89+'Mon '!I89+'Wed (2)'!I89+Sun!I89+Sat!I89)</f>
        <v>0</v>
      </c>
      <c r="J89" s="103">
        <f>('Thurs (2)'!J89+Thurs!J89+'Tues '!J89+Wed!J89+Fri!J89+'Mon '!J89+'Wed (2)'!J89+Sun!J89+Sat!J89)</f>
        <v>0</v>
      </c>
      <c r="K89" s="103">
        <f>('Thurs (2)'!K89+Thurs!K89+'Tues '!K89+Wed!K89+Fri!K89+'Mon '!K89+'Wed (2)'!K89+Sun!K89+Sat!K89)</f>
        <v>0</v>
      </c>
      <c r="L89" s="103">
        <f>('Thurs (2)'!L89+Thurs!L89+'Tues '!L89+Wed!L89+Fri!L89+'Mon '!L89+'Wed (2)'!L89+Sun!L89+Sat!L89)</f>
        <v>0</v>
      </c>
      <c r="M89" s="103">
        <f>('Thurs (2)'!M89+Thurs!M89+'Tues '!M89+Wed!M89+Fri!M89+'Mon '!M89+'Wed (2)'!M89+Sun!M89+Sat!M89)</f>
        <v>0</v>
      </c>
      <c r="N89" s="103">
        <f>('Thurs (2)'!N89+Thurs!N89+'Tues '!N89+Wed!N89+Fri!N89+'Mon '!N89+'Wed (2)'!N89+Sun!N89+Sat!N89)</f>
        <v>0</v>
      </c>
      <c r="O89" s="103">
        <f>('Thurs (2)'!O89+Thurs!O89+'Tues '!O89+Wed!O89+Fri!O89+'Mon '!O89+'Wed (2)'!O89+Sun!O89+Sat!O89)</f>
        <v>0</v>
      </c>
      <c r="P89" s="103">
        <f>('Thurs (2)'!P89+Thurs!P89+'Tues '!P89+Wed!P89+Fri!P89+'Mon '!P89+'Wed (2)'!P89+Sun!P89+Sat!P89)</f>
        <v>0</v>
      </c>
      <c r="Q89" s="103">
        <f>('Thurs (2)'!Q89+Thurs!Q89+'Tues '!Q89+Wed!Q89+Fri!Q89+'Mon '!Q89+'Wed (2)'!Q89+Sun!Q89+Sat!Q89)</f>
        <v>0</v>
      </c>
      <c r="R89" s="103">
        <f>('Thurs (2)'!R89+Thurs!R89+'Tues '!R89+Wed!R89+Fri!R89+'Mon '!R89+'Wed (2)'!R89+Sun!R89+Sat!R89)</f>
        <v>0</v>
      </c>
      <c r="S89" s="103">
        <f>('Thurs (2)'!S89+Thurs!S89+'Tues '!S89+Wed!S89+Fri!S89+'Mon '!S89+'Wed (2)'!S89+Sun!S89+Sat!S89)</f>
        <v>0</v>
      </c>
      <c r="T89" s="103">
        <f>('Thurs (2)'!T89+Thurs!T89+'Tues '!T89+Wed!T89+Fri!T89+'Mon '!T89+'Wed (2)'!T89+Sun!T89+Sat!T89)</f>
        <v>0</v>
      </c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>
        <f>('Thurs (2)'!G91+Thurs!G91+'Tues '!G91+Wed!G91+Fri!G91+'Mon '!G91+'Wed (2)'!G91+Sun!G91+Sat!G91)</f>
        <v>0</v>
      </c>
      <c r="H91" s="103">
        <f>('Thurs (2)'!H91+Thurs!H91+'Tues '!H91+Wed!H91+Fri!H91+'Mon '!H91+'Wed (2)'!H91+Sun!H91+Sat!H91)</f>
        <v>0</v>
      </c>
      <c r="I91" s="103">
        <f>('Thurs (2)'!I91+Thurs!I91+'Tues '!I91+Wed!I91+Fri!I91+'Mon '!I91+'Wed (2)'!I91+Sun!I91+Sat!I91)</f>
        <v>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0</v>
      </c>
      <c r="N91" s="103">
        <f>('Thurs (2)'!N91+Thurs!N91+'Tues '!N91+Wed!N91+Fri!N91+'Mon '!N91+'Wed (2)'!N91+Sun!N91+Sat!N91)</f>
        <v>0</v>
      </c>
      <c r="O91" s="103">
        <f>('Thurs (2)'!O91+Thurs!O91+'Tues '!O91+Wed!O91+Fri!O91+'Mon '!O91+'Wed (2)'!O91+Sun!O91+Sat!O91)</f>
        <v>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0</v>
      </c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>
        <f>('Thurs (2)'!G92+Thurs!G92+'Tues '!G92+Wed!G92+Fri!G92+'Mon '!G92+'Wed (2)'!G92+Sun!G92+Sat!G92)</f>
        <v>0</v>
      </c>
      <c r="H92" s="103">
        <f>('Thurs (2)'!H92+Thurs!H92+'Tues '!H92+Wed!H92+Fri!H92+'Mon '!H92+'Wed (2)'!H92+Sun!H92+Sat!H92)</f>
        <v>0</v>
      </c>
      <c r="I92" s="103">
        <f>('Thurs (2)'!I92+Thurs!I92+'Tues '!I92+Wed!I92+Fri!I92+'Mon '!I92+'Wed (2)'!I92+Sun!I92+Sat!I92)</f>
        <v>0</v>
      </c>
      <c r="J92" s="103">
        <f>('Thurs (2)'!J92+Thurs!J92+'Tues '!J92+Wed!J92+Fri!J92+'Mon '!J92+'Wed (2)'!J92+Sun!J92+Sat!J92)</f>
        <v>0</v>
      </c>
      <c r="K92" s="103">
        <f>('Thurs (2)'!K92+Thurs!K92+'Tues '!K92+Wed!K92+Fri!K92+'Mon '!K92+'Wed (2)'!K92+Sun!K92+Sat!K92)</f>
        <v>0</v>
      </c>
      <c r="L92" s="103">
        <f>('Thurs (2)'!L92+Thurs!L92+'Tues '!L92+Wed!L92+Fri!L92+'Mon '!L92+'Wed (2)'!L92+Sun!L92+Sat!L92)</f>
        <v>0</v>
      </c>
      <c r="M92" s="103">
        <f>('Thurs (2)'!M92+Thurs!M92+'Tues '!M92+Wed!M92+Fri!M92+'Mon '!M92+'Wed (2)'!M92+Sun!M92+Sat!M92)</f>
        <v>0</v>
      </c>
      <c r="N92" s="103">
        <f>('Thurs (2)'!N92+Thurs!N92+'Tues '!N92+Wed!N92+Fri!N92+'Mon '!N92+'Wed (2)'!N92+Sun!N92+Sat!N92)</f>
        <v>0</v>
      </c>
      <c r="O92" s="103">
        <f>('Thurs (2)'!O92+Thurs!O92+'Tues '!O92+Wed!O92+Fri!O92+'Mon '!O92+'Wed (2)'!O92+Sun!O92+Sat!O92)</f>
        <v>0</v>
      </c>
      <c r="P92" s="103">
        <f>('Thurs (2)'!P92+Thurs!P92+'Tues '!P92+Wed!P92+Fri!P92+'Mon '!P92+'Wed (2)'!P92+Sun!P92+Sat!P92)</f>
        <v>0</v>
      </c>
      <c r="Q92" s="103">
        <f>('Thurs (2)'!Q92+Thurs!Q92+'Tues '!Q92+Wed!Q92+Fri!Q92+'Mon '!Q92+'Wed (2)'!Q92+Sun!Q92+Sat!Q92)</f>
        <v>0</v>
      </c>
      <c r="R92" s="103">
        <f>('Thurs (2)'!R92+Thurs!R92+'Tues '!R92+Wed!R92+Fri!R92+'Mon '!R92+'Wed (2)'!R92+Sun!R92+Sat!R92)</f>
        <v>0</v>
      </c>
      <c r="S92" s="103">
        <f>('Thurs (2)'!S92+Thurs!S92+'Tues '!S92+Wed!S92+Fri!S92+'Mon '!S92+'Wed (2)'!S92+Sun!S92+Sat!S92)</f>
        <v>0</v>
      </c>
      <c r="T92" s="103">
        <f>('Thurs (2)'!T92+Thurs!T92+'Tues '!T92+Wed!T92+Fri!T92+'Mon '!T92+'Wed (2)'!T92+Sun!T92+Sat!T92)</f>
        <v>0</v>
      </c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>
        <f>('Thurs (2)'!G96+Thurs!G96+'Tues '!G96+Wed!G96+Fri!G96+'Mon '!G96+'Wed (2)'!G96+Sun!G96+Sat!G96)</f>
        <v>3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>
        <f>('Thurs (2)'!G97+Thurs!G97+'Tues '!G97+Wed!G97+Fri!G97+'Mon '!G97+'Wed (2)'!G97+Sun!G97+Sat!G97)</f>
        <v>0</v>
      </c>
      <c r="H97" s="103">
        <f>('Thurs (2)'!H97+Thurs!H97+'Tues '!H97+Wed!H97+Fri!H97+'Mon '!H97+'Wed (2)'!H97+Sun!H97+Sat!H97)</f>
        <v>0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0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>
        <f>('Thurs (2)'!G98+Thurs!G98+'Tues '!G98+Wed!G98+Fri!G98+'Mon '!G98+'Wed (2)'!G98+Sun!G98+Sat!G98)</f>
        <v>0</v>
      </c>
      <c r="H98" s="103">
        <f>('Thurs (2)'!H98+Thurs!H98+'Tues '!H98+Wed!H98+Fri!H98+'Mon '!H98+'Wed (2)'!H98+Sun!H98+Sat!H98)</f>
        <v>0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0</v>
      </c>
      <c r="N98" s="103">
        <f>('Thurs (2)'!N98+Thurs!N98+'Tues '!N98+Wed!N98+Fri!N98+'Mon '!N98+'Wed (2)'!N98+Sun!N98+Sat!N98)</f>
        <v>0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>
        <f>('Thurs (2)'!G101+Thurs!G101+'Tues '!G101+Wed!G101+Fri!G101+'Mon '!G101+'Wed (2)'!G101+Sun!G101+Sat!G101)</f>
        <v>0</v>
      </c>
      <c r="H101" s="103">
        <f>('Thurs (2)'!H101+Thurs!H101+'Tues '!H101+Wed!H101+Fri!H101+'Mon '!H101+'Wed (2)'!H101+Sun!H101+Sat!H101)</f>
        <v>0</v>
      </c>
      <c r="I101" s="103">
        <f>('Thurs (2)'!I101+Thurs!I101+'Tues '!I101+Wed!I101+Fri!I101+'Mon '!I101+'Wed (2)'!I101+Sun!I101+Sat!I101)</f>
        <v>0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0</v>
      </c>
      <c r="N101" s="103">
        <f>('Thurs (2)'!N101+Thurs!N101+'Tues '!N101+Wed!N101+Fri!N101+'Mon '!N101+'Wed (2)'!N101+Sun!N101+Sat!N101)</f>
        <v>0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0</v>
      </c>
      <c r="S101" s="103">
        <f>('Thurs (2)'!S101+Thurs!S101+'Tues '!S101+Wed!S101+Fri!S101+'Mon '!S101+'Wed (2)'!S101+Sun!S101+Sat!S101)</f>
        <v>0</v>
      </c>
      <c r="T101" s="103">
        <f>('Thurs (2)'!T101+Thurs!T101+'Tues '!T101+Wed!T101+Fri!T101+'Mon '!T101+'Wed (2)'!T101+Sun!T101+Sat!T101)</f>
        <v>0</v>
      </c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>
        <f>('Thurs (2)'!G103+Thurs!G103+'Tues '!G103+Wed!G103+Fri!G103+'Mon '!G103+'Wed (2)'!G103+Sun!G103+Sat!G103)</f>
        <v>0</v>
      </c>
      <c r="H103" s="103">
        <f>('Thurs (2)'!H103+Thurs!H103+'Tues '!H103+Wed!H103+Fri!H103+'Mon '!H103+'Wed (2)'!H103+Sun!H103+Sat!H103)</f>
        <v>0</v>
      </c>
      <c r="I103" s="103">
        <f>('Thurs (2)'!I103+Thurs!I103+'Tues '!I103+Wed!I103+Fri!I103+'Mon '!I103+'Wed (2)'!I103+Sun!I103+Sat!I103)</f>
        <v>0</v>
      </c>
      <c r="J103" s="103">
        <f>('Thurs (2)'!J103+Thurs!J103+'Tues '!J103+Wed!J103+Fri!J103+'Mon '!J103+'Wed (2)'!J103+Sun!J103+Sat!J103)</f>
        <v>0</v>
      </c>
      <c r="K103" s="103">
        <f>('Thurs (2)'!K103+Thurs!K103+'Tues '!K103+Wed!K103+Fri!K103+'Mon '!K103+'Wed (2)'!K103+Sun!K103+Sat!K103)</f>
        <v>0</v>
      </c>
      <c r="L103" s="103">
        <f>('Thurs (2)'!L103+Thurs!L103+'Tues '!L103+Wed!L103+Fri!L103+'Mon '!L103+'Wed (2)'!L103+Sun!L103+Sat!L103)</f>
        <v>0</v>
      </c>
      <c r="M103" s="103">
        <f>('Thurs (2)'!M103+Thurs!M103+'Tues '!M103+Wed!M103+Fri!M103+'Mon '!M103+'Wed (2)'!M103+Sun!M103+Sat!M103)</f>
        <v>0</v>
      </c>
      <c r="N103" s="103">
        <f>('Thurs (2)'!N103+Thurs!N103+'Tues '!N103+Wed!N103+Fri!N103+'Mon '!N103+'Wed (2)'!N103+Sun!N103+Sat!N103)</f>
        <v>0</v>
      </c>
      <c r="O103" s="103">
        <f>('Thurs (2)'!O103+Thurs!O103+'Tues '!O103+Wed!O103+Fri!O103+'Mon '!O103+'Wed (2)'!O103+Sun!O103+Sat!O103)</f>
        <v>0</v>
      </c>
      <c r="P103" s="103">
        <f>('Thurs (2)'!P103+Thurs!P103+'Tues '!P103+Wed!P103+Fri!P103+'Mon '!P103+'Wed (2)'!P103+Sun!P103+Sat!P103)</f>
        <v>0</v>
      </c>
      <c r="Q103" s="103">
        <f>('Thurs (2)'!Q103+Thurs!Q103+'Tues '!Q103+Wed!Q103+Fri!Q103+'Mon '!Q103+'Wed (2)'!Q103+Sun!Q103+Sat!Q103)</f>
        <v>0</v>
      </c>
      <c r="R103" s="103">
        <f>('Thurs (2)'!R103+Thurs!R103+'Tues '!R103+Wed!R103+Fri!R103+'Mon '!R103+'Wed (2)'!R103+Sun!R103+Sat!R103)</f>
        <v>0</v>
      </c>
      <c r="S103" s="103">
        <f>('Thurs (2)'!S103+Thurs!S103+'Tues '!S103+Wed!S103+Fri!S103+'Mon '!S103+'Wed (2)'!S103+Sun!S103+Sat!S103)</f>
        <v>0</v>
      </c>
      <c r="T103" s="103">
        <f>('Thurs (2)'!T103+Thurs!T103+'Tues '!T103+Wed!T103+Fri!T103+'Mon '!T103+'Wed (2)'!T103+Sun!T103+Sat!T103)</f>
        <v>0</v>
      </c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>
        <f>('Thurs (2)'!G104+Thurs!G104+'Tues '!G104+Wed!G104+Fri!G104+'Mon '!G104+'Wed (2)'!G104+Sun!G104+Sat!G104)</f>
        <v>0</v>
      </c>
      <c r="H104" s="103">
        <f>('Thurs (2)'!H104+Thurs!H104+'Tues '!H104+Wed!H104+Fri!H104+'Mon '!H104+'Wed (2)'!H104+Sun!H104+Sat!H104)</f>
        <v>0</v>
      </c>
      <c r="I104" s="103">
        <f>('Thurs (2)'!I104+Thurs!I104+'Tues '!I104+Wed!I104+Fri!I104+'Mon '!I104+'Wed (2)'!I104+Sun!I104+Sat!I104)</f>
        <v>0</v>
      </c>
      <c r="J104" s="103">
        <f>('Thurs (2)'!J104+Thurs!J104+'Tues '!J104+Wed!J104+Fri!J104+'Mon '!J104+'Wed (2)'!J104+Sun!J104+Sat!J104)</f>
        <v>0</v>
      </c>
      <c r="K104" s="103">
        <f>('Thurs (2)'!K104+Thurs!K104+'Tues '!K104+Wed!K104+Fri!K104+'Mon '!K104+'Wed (2)'!K104+Sun!K104+Sat!K104)</f>
        <v>0</v>
      </c>
      <c r="L104" s="103">
        <f>('Thurs (2)'!L104+Thurs!L104+'Tues '!L104+Wed!L104+Fri!L104+'Mon '!L104+'Wed (2)'!L104+Sun!L104+Sat!L104)</f>
        <v>0</v>
      </c>
      <c r="M104" s="103">
        <f>('Thurs (2)'!M104+Thurs!M104+'Tues '!M104+Wed!M104+Fri!M104+'Mon '!M104+'Wed (2)'!M104+Sun!M104+Sat!M104)</f>
        <v>0</v>
      </c>
      <c r="N104" s="103">
        <f>('Thurs (2)'!N104+Thurs!N104+'Tues '!N104+Wed!N104+Fri!N104+'Mon '!N104+'Wed (2)'!N104+Sun!N104+Sat!N104)</f>
        <v>0</v>
      </c>
      <c r="O104" s="103">
        <f>('Thurs (2)'!O104+Thurs!O104+'Tues '!O104+Wed!O104+Fri!O104+'Mon '!O104+'Wed (2)'!O104+Sun!O104+Sat!O104)</f>
        <v>0</v>
      </c>
      <c r="P104" s="103">
        <f>('Thurs (2)'!P104+Thurs!P104+'Tues '!P104+Wed!P104+Fri!P104+'Mon '!P104+'Wed (2)'!P104+Sun!P104+Sat!P104)</f>
        <v>0</v>
      </c>
      <c r="Q104" s="103">
        <f>('Thurs (2)'!Q104+Thurs!Q104+'Tues '!Q104+Wed!Q104+Fri!Q104+'Mon '!Q104+'Wed (2)'!Q104+Sun!Q104+Sat!Q104)</f>
        <v>0</v>
      </c>
      <c r="R104" s="103">
        <f>('Thurs (2)'!R104+Thurs!R104+'Tues '!R104+Wed!R104+Fri!R104+'Mon '!R104+'Wed (2)'!R104+Sun!R104+Sat!R104)</f>
        <v>0</v>
      </c>
      <c r="S104" s="103">
        <f>('Thurs (2)'!S104+Thurs!S104+'Tues '!S104+Wed!S104+Fri!S104+'Mon '!S104+'Wed (2)'!S104+Sun!S104+Sat!S104)</f>
        <v>0</v>
      </c>
      <c r="T104" s="103">
        <f>('Thurs (2)'!T104+Thurs!T104+'Tues '!T104+Wed!T104+Fri!T104+'Mon '!T104+'Wed (2)'!T104+Sun!T104+Sat!T104)</f>
        <v>0</v>
      </c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9931</v>
      </c>
      <c r="D2" s="10"/>
      <c r="E2" s="11">
        <f t="shared" ref="E2:R2" si="1">SUM(E5,E20,E23,E26,E29,E32)</f>
        <v>6723</v>
      </c>
      <c r="F2" s="11">
        <f t="shared" si="1"/>
        <v>30</v>
      </c>
      <c r="G2" s="11">
        <f t="shared" si="1"/>
        <v>16</v>
      </c>
      <c r="H2" s="11">
        <f t="shared" si="1"/>
        <v>8</v>
      </c>
      <c r="I2" s="11">
        <f t="shared" si="1"/>
        <v>6</v>
      </c>
      <c r="J2" s="11">
        <f t="shared" si="1"/>
        <v>3</v>
      </c>
      <c r="K2" s="11">
        <f t="shared" si="1"/>
        <v>4</v>
      </c>
      <c r="L2" s="11">
        <f t="shared" si="1"/>
        <v>2</v>
      </c>
      <c r="M2" s="11">
        <f t="shared" si="1"/>
        <v>41</v>
      </c>
      <c r="N2" s="11">
        <f t="shared" si="1"/>
        <v>4</v>
      </c>
      <c r="O2" s="11">
        <f t="shared" si="1"/>
        <v>3</v>
      </c>
      <c r="P2" s="11">
        <f t="shared" si="1"/>
        <v>5</v>
      </c>
      <c r="Q2" s="11">
        <f t="shared" si="1"/>
        <v>3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1241.375</v>
      </c>
      <c r="F4" s="24">
        <f>IFERROR((G2+R2)/F2,0)</f>
        <v>0.5333333333</v>
      </c>
      <c r="G4" s="24">
        <f>IFERROR(H2/G2,0)</f>
        <v>0.5</v>
      </c>
      <c r="H4" s="23">
        <f>(C2/C4)</f>
        <v>157.6349206</v>
      </c>
      <c r="I4" s="25"/>
      <c r="J4" s="24">
        <f>IFERROR(J2/I2,0)</f>
        <v>0.5</v>
      </c>
      <c r="K4" s="25"/>
      <c r="L4" s="24">
        <f>IFERROR(L2/K2,0)</f>
        <v>0.5</v>
      </c>
      <c r="M4" s="26">
        <f>IFERROR(M2/G2,0)</f>
        <v>2.5625</v>
      </c>
      <c r="N4" s="25"/>
      <c r="O4" s="24">
        <f>IFERROR(O2/N2,0)</f>
        <v>0.75</v>
      </c>
      <c r="P4" s="26"/>
      <c r="Q4" s="24">
        <f>IFERROR(Q2/P2,0)</f>
        <v>0.6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9114</v>
      </c>
      <c r="D5" s="31"/>
      <c r="E5" s="32">
        <f>SUMIFS(T:T,A:A,B5,D:D,"Y")</f>
        <v>5906</v>
      </c>
      <c r="F5" s="11">
        <f>SUMIF(A:A,B5,G:G)</f>
        <v>30</v>
      </c>
      <c r="G5" s="11">
        <f>SUMIF(A:A,B5,H:H)</f>
        <v>16</v>
      </c>
      <c r="H5" s="11">
        <f>SUMIF(A:A,B5,I:I)</f>
        <v>7</v>
      </c>
      <c r="I5" s="11">
        <f>SUMIF(A:A,B5,P:P)</f>
        <v>6</v>
      </c>
      <c r="J5" s="11">
        <f>SUMIF(A:A,B5,Q:Q)</f>
        <v>3</v>
      </c>
      <c r="K5" s="11">
        <f>SUMIF(A:A,B5,R:R)</f>
        <v>4</v>
      </c>
      <c r="L5" s="11">
        <f>SUMIF(A:A,B5,S:S)</f>
        <v>2</v>
      </c>
      <c r="M5" s="11">
        <f>SUMIF(A:A,B5,M:M)</f>
        <v>41</v>
      </c>
      <c r="N5" s="11">
        <f>SUMIF(A:A,B5,N:N)</f>
        <v>4</v>
      </c>
      <c r="O5" s="11">
        <f>SUMIF(A:A,B5,O:O)</f>
        <v>2</v>
      </c>
      <c r="P5" s="11">
        <f>SUMIF(A:A,B5,J:J)</f>
        <v>5</v>
      </c>
      <c r="Q5" s="11">
        <f>SUMIF(A:A,B5,K:K)</f>
        <v>3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1302</v>
      </c>
      <c r="F7" s="41">
        <f>IFERROR((G5+R5)/F5,0)</f>
        <v>0.5333333333</v>
      </c>
      <c r="G7" s="41">
        <f>IFERROR(H5/G5,0)</f>
        <v>0.4375</v>
      </c>
      <c r="H7" s="40">
        <f>(C5/C7)</f>
        <v>379.75</v>
      </c>
      <c r="I7" s="42"/>
      <c r="J7" s="41">
        <f>IFERROR(J5/I5,0)</f>
        <v>0.5</v>
      </c>
      <c r="K7" s="42"/>
      <c r="L7" s="41">
        <f>IFERROR(L5/K5,0)</f>
        <v>0.5</v>
      </c>
      <c r="M7" s="43">
        <f>IFERROR(M5/SUM(R5+G5,0),"")</f>
        <v>2.5625</v>
      </c>
      <c r="N7" s="42"/>
      <c r="O7" s="41">
        <f>IFERROR(O5/N5,0)</f>
        <v>0.5</v>
      </c>
      <c r="P7" s="43"/>
      <c r="Q7" s="41">
        <f>IFERROR(Q5/P5,0)</f>
        <v>0.6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1769</v>
      </c>
      <c r="D11" s="60"/>
      <c r="E11" s="48">
        <f>SUMIFS(T:T,B:B,B11,D:D,"Y")</f>
        <v>0</v>
      </c>
      <c r="F11" s="49">
        <f>SUMIF(B39:B1137,B11,G39:G1137)</f>
        <v>9</v>
      </c>
      <c r="G11" s="50">
        <f>SUMIF(B39:B1137,B11,H39:H1137)</f>
        <v>5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3</v>
      </c>
      <c r="L11" s="50">
        <f>SUMIF(B39:B1137,B11,S39:S1137)</f>
        <v>1</v>
      </c>
      <c r="M11" s="50">
        <f>SUMIF(B39:B1137,B11,M39:M1137)</f>
        <v>26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2</v>
      </c>
      <c r="Q11" s="50">
        <f>SUMIF(B39:B1137,B11,K39:K1137)</f>
        <v>1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1769</v>
      </c>
      <c r="F13" s="24">
        <f>IFERROR((G11+R11)/F11,0)</f>
        <v>0.5555555556</v>
      </c>
      <c r="G13" s="24">
        <f>IFERROR(H11/G11,0)</f>
        <v>0.2</v>
      </c>
      <c r="H13" s="23">
        <f>(C11/C13)</f>
        <v>252.7142857</v>
      </c>
      <c r="I13" s="25"/>
      <c r="J13" s="24">
        <f>IFERROR(J11/I11,0)</f>
        <v>0</v>
      </c>
      <c r="K13" s="25"/>
      <c r="L13" s="24">
        <f>IFERROR(L11/K11,0)</f>
        <v>0.3333333333</v>
      </c>
      <c r="M13" s="26">
        <f>IFERROR(M11/SUM(R11+G11,0),"")</f>
        <v>5.2</v>
      </c>
      <c r="N13" s="25"/>
      <c r="O13" s="24">
        <f>IFERROR(O11/N11,0)</f>
        <v>0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5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7345</v>
      </c>
      <c r="D17" s="60"/>
      <c r="E17" s="48">
        <f>SUMIFS(T:T,B:B,B17,D:D,"Y")</f>
        <v>5906</v>
      </c>
      <c r="F17" s="49">
        <f>SUMIF(B44:B1137,B17,G44:G1137)</f>
        <v>16</v>
      </c>
      <c r="G17" s="50">
        <f>SUMIF(B44:B1137,B17,H44:H1137)</f>
        <v>11</v>
      </c>
      <c r="H17" s="50">
        <f>SUMIF(B44:B1137,B17,I44:I1137)</f>
        <v>6</v>
      </c>
      <c r="I17" s="50">
        <f>SUMIF(B44:B1137,B17,P44:P1137)</f>
        <v>6</v>
      </c>
      <c r="J17" s="50">
        <f>SUMIF(B44:B1137,B17,Q44:Q1137)</f>
        <v>3</v>
      </c>
      <c r="K17" s="50">
        <f>SUMIF(B44:B1137,B17,R44:R1137)</f>
        <v>1</v>
      </c>
      <c r="L17" s="50">
        <f>SUMIF(B44:B1137,B17,S44:S1137)</f>
        <v>1</v>
      </c>
      <c r="M17" s="50">
        <f>SUMIF(B44:B1137,B17,M44:M1137)</f>
        <v>15</v>
      </c>
      <c r="N17" s="50">
        <f>SUMIF(B44:B1137,B17,N44:N1137)</f>
        <v>4</v>
      </c>
      <c r="O17" s="50">
        <f>SUMIF(B44:B1137,B17,O44:O1137)</f>
        <v>2</v>
      </c>
      <c r="P17" s="50">
        <f>SUMIF(B44:B1137,B17,J44:J1137)</f>
        <v>3</v>
      </c>
      <c r="Q17" s="50">
        <f>SUMIF(B44:B1137,B17,K44:K1137)</f>
        <v>2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1224.166667</v>
      </c>
      <c r="F19" s="24">
        <f>IFERROR((G17+R17)/F17,0)</f>
        <v>0.6875</v>
      </c>
      <c r="G19" s="24">
        <f>IFERROR(H17/G17,0)</f>
        <v>0.5454545455</v>
      </c>
      <c r="H19" s="23">
        <f>(C17/C19)</f>
        <v>1836.25</v>
      </c>
      <c r="I19" s="25"/>
      <c r="J19" s="24">
        <f>IFERROR(J17/I17,0)</f>
        <v>0.5</v>
      </c>
      <c r="K19" s="25"/>
      <c r="L19" s="24">
        <f>IFERROR(L17/K17,0)</f>
        <v>1</v>
      </c>
      <c r="M19" s="26">
        <f>IFERROR(M17/SUM(R17+G17,0),"")</f>
        <v>1.363636364</v>
      </c>
      <c r="N19" s="25"/>
      <c r="O19" s="24">
        <f>IFERROR(O17/N17,0)</f>
        <v>0.5</v>
      </c>
      <c r="P19" s="26"/>
      <c r="Q19" s="24">
        <f>IFERROR(Q17/P17,0)</f>
        <v>0.6666666667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817</v>
      </c>
      <c r="D26" s="31"/>
      <c r="E26" s="64">
        <f>SUMIFS(T:T,A:A,B26,D:D,"Y")</f>
        <v>817</v>
      </c>
      <c r="F26" s="9">
        <f>SUMIF(A:A,B26,G:G)</f>
        <v>0</v>
      </c>
      <c r="G26" s="11">
        <f>SUMIF(A:A,B26,H:H)</f>
        <v>0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1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817</v>
      </c>
      <c r="F28" s="24">
        <f>IFERROR((G26+R26)/F26,0)</f>
        <v>0</v>
      </c>
      <c r="G28" s="24">
        <f>IFERROR(H26/G26,0)</f>
        <v>0</v>
      </c>
      <c r="H28" s="23">
        <f>(C26/C28)</f>
        <v>163.4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1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2.0</v>
      </c>
      <c r="H45" s="185">
        <v>2.0</v>
      </c>
      <c r="I45" s="185">
        <v>1.0</v>
      </c>
      <c r="J45" s="185">
        <v>1.0</v>
      </c>
      <c r="K45" s="185">
        <v>1.0</v>
      </c>
      <c r="L45" s="185">
        <v>0.0</v>
      </c>
      <c r="M45" s="185">
        <v>5.0</v>
      </c>
      <c r="N45" s="185">
        <v>0.0</v>
      </c>
      <c r="O45" s="185">
        <v>0.0</v>
      </c>
      <c r="P45" s="185">
        <v>0.0</v>
      </c>
      <c r="Q45" s="185">
        <v>0.0</v>
      </c>
      <c r="R45" s="185">
        <v>1.0</v>
      </c>
      <c r="S45" s="185">
        <v>1.0</v>
      </c>
      <c r="T45" s="185">
        <v>1769.0</v>
      </c>
      <c r="U45" s="104">
        <f t="shared" si="2"/>
        <v>0.5</v>
      </c>
      <c r="V45" s="104">
        <f t="shared" si="3"/>
        <v>1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0.0</v>
      </c>
      <c r="H46" s="185">
        <v>0.0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3.0</v>
      </c>
      <c r="H47" s="185">
        <v>2.0</v>
      </c>
      <c r="I47" s="185">
        <v>0.0</v>
      </c>
      <c r="J47" s="185">
        <v>1.0</v>
      </c>
      <c r="K47" s="185">
        <v>0.0</v>
      </c>
      <c r="L47" s="185">
        <v>0.0</v>
      </c>
      <c r="M47" s="185">
        <v>20.0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2.0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0.6666666667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4.0</v>
      </c>
      <c r="H49" s="185">
        <v>1.0</v>
      </c>
      <c r="I49" s="185">
        <v>0.0</v>
      </c>
      <c r="J49" s="185">
        <v>0.0</v>
      </c>
      <c r="K49" s="185">
        <v>0.0</v>
      </c>
      <c r="L49" s="185">
        <v>0.0</v>
      </c>
      <c r="M49" s="185">
        <v>1.0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0.25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0.0</v>
      </c>
      <c r="H50" s="185">
        <v>0.0</v>
      </c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86">
        <v>0.0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4.0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ref="U53:U60" si="4">IFERROR(I53/H53,0)</f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>
        <v>0.0</v>
      </c>
      <c r="H54" s="103">
        <v>0.0</v>
      </c>
      <c r="I54" s="103">
        <v>0.0</v>
      </c>
      <c r="J54" s="103">
        <v>0.0</v>
      </c>
      <c r="K54" s="103">
        <v>0.0</v>
      </c>
      <c r="L54" s="103">
        <v>0.0</v>
      </c>
      <c r="M54" s="103">
        <v>0.0</v>
      </c>
      <c r="N54" s="103">
        <v>0.0</v>
      </c>
      <c r="O54" s="103">
        <v>0.0</v>
      </c>
      <c r="P54" s="103">
        <v>0.0</v>
      </c>
      <c r="Q54" s="103">
        <v>0.0</v>
      </c>
      <c r="R54" s="103">
        <v>0.0</v>
      </c>
      <c r="S54" s="103">
        <v>0.0</v>
      </c>
      <c r="T54" s="103">
        <v>0.0</v>
      </c>
      <c r="U54" s="104">
        <f t="shared" si="4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4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1.0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4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8.0</v>
      </c>
      <c r="H57" s="185">
        <v>4.0</v>
      </c>
      <c r="I57" s="185">
        <v>2.0</v>
      </c>
      <c r="J57" s="185">
        <v>0.0</v>
      </c>
      <c r="K57" s="185">
        <v>0.0</v>
      </c>
      <c r="L57" s="185">
        <v>0.0</v>
      </c>
      <c r="M57" s="185">
        <v>10.0</v>
      </c>
      <c r="N57" s="185">
        <v>1.0</v>
      </c>
      <c r="O57" s="185">
        <v>1.0</v>
      </c>
      <c r="P57" s="185">
        <v>3.0</v>
      </c>
      <c r="Q57" s="185">
        <v>1.0</v>
      </c>
      <c r="R57" s="185">
        <v>0.0</v>
      </c>
      <c r="S57" s="185">
        <v>0.0</v>
      </c>
      <c r="T57" s="185">
        <v>2934.0</v>
      </c>
      <c r="U57" s="104">
        <f t="shared" si="4"/>
        <v>0.5</v>
      </c>
      <c r="V57" s="104">
        <f t="shared" si="3"/>
        <v>0.5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85">
        <v>5.0</v>
      </c>
      <c r="H58" s="185">
        <v>4.0</v>
      </c>
      <c r="I58" s="185">
        <v>3.0</v>
      </c>
      <c r="J58" s="185">
        <v>1.0</v>
      </c>
      <c r="K58" s="185">
        <v>1.0</v>
      </c>
      <c r="L58" s="185">
        <v>0.0</v>
      </c>
      <c r="M58" s="185">
        <v>5.0</v>
      </c>
      <c r="N58" s="185">
        <v>1.0</v>
      </c>
      <c r="O58" s="185">
        <v>1.0</v>
      </c>
      <c r="P58" s="185">
        <v>3.0</v>
      </c>
      <c r="Q58" s="185">
        <v>2.0</v>
      </c>
      <c r="R58" s="185">
        <v>0.0</v>
      </c>
      <c r="S58" s="185">
        <v>0.0</v>
      </c>
      <c r="T58" s="185">
        <v>2972.0</v>
      </c>
      <c r="U58" s="104">
        <f t="shared" si="4"/>
        <v>0.75</v>
      </c>
      <c r="V58" s="104">
        <f t="shared" si="3"/>
        <v>0.8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85">
        <v>2.0</v>
      </c>
      <c r="H59" s="185">
        <v>2.0</v>
      </c>
      <c r="I59" s="185">
        <v>1.0</v>
      </c>
      <c r="J59" s="185">
        <v>2.0</v>
      </c>
      <c r="K59" s="185">
        <v>1.0</v>
      </c>
      <c r="L59" s="185">
        <v>0.0</v>
      </c>
      <c r="M59" s="185">
        <v>0.0</v>
      </c>
      <c r="N59" s="185">
        <v>1.0</v>
      </c>
      <c r="O59" s="185">
        <v>0.0</v>
      </c>
      <c r="P59" s="185">
        <v>0.0</v>
      </c>
      <c r="Q59" s="185">
        <v>0.0</v>
      </c>
      <c r="R59" s="185">
        <v>1.0</v>
      </c>
      <c r="S59" s="185">
        <v>1.0</v>
      </c>
      <c r="T59" s="185">
        <v>1439.0</v>
      </c>
      <c r="U59" s="104">
        <f t="shared" si="4"/>
        <v>0.5</v>
      </c>
      <c r="V59" s="104">
        <f t="shared" si="3"/>
        <v>1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85">
        <v>1.0</v>
      </c>
      <c r="H60" s="185">
        <v>1.0</v>
      </c>
      <c r="I60" s="185">
        <v>0.0</v>
      </c>
      <c r="J60" s="185">
        <v>0.0</v>
      </c>
      <c r="K60" s="185">
        <v>0.0</v>
      </c>
      <c r="L60" s="185">
        <v>0.0</v>
      </c>
      <c r="M60" s="185">
        <v>0.0</v>
      </c>
      <c r="N60" s="185">
        <v>1.0</v>
      </c>
      <c r="O60" s="185">
        <v>0.0</v>
      </c>
      <c r="P60" s="185">
        <v>0.0</v>
      </c>
      <c r="Q60" s="185">
        <v>0.0</v>
      </c>
      <c r="R60" s="185">
        <v>0.0</v>
      </c>
      <c r="S60" s="185">
        <v>0.0</v>
      </c>
      <c r="T60" s="185">
        <v>0.0</v>
      </c>
      <c r="U60" s="104">
        <f t="shared" si="4"/>
        <v>0</v>
      </c>
      <c r="V60" s="104">
        <f t="shared" si="3"/>
        <v>1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5">IFERROR(I62/H62,0)</f>
        <v>0</v>
      </c>
      <c r="V62" s="104">
        <f t="shared" ref="V62:V66" si="6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5"/>
        <v>0</v>
      </c>
      <c r="V63" s="145">
        <f t="shared" si="6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5"/>
        <v>0</v>
      </c>
      <c r="V64" s="145">
        <f t="shared" si="6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5"/>
        <v>0</v>
      </c>
      <c r="V65" s="145">
        <f t="shared" si="6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5"/>
        <v>0</v>
      </c>
      <c r="V66" s="145">
        <f t="shared" si="6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7">IFERROR(I68/H68,0)</f>
        <v>0</v>
      </c>
      <c r="V68" s="104">
        <f t="shared" ref="V68:V77" si="8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7"/>
        <v>0</v>
      </c>
      <c r="V69" s="104">
        <f t="shared" si="8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7"/>
        <v>0</v>
      </c>
      <c r="V70" s="104">
        <f t="shared" si="8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7"/>
        <v>0</v>
      </c>
      <c r="V71" s="104">
        <f t="shared" si="8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7"/>
        <v>0</v>
      </c>
      <c r="V72" s="104">
        <f t="shared" si="8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7"/>
        <v>0</v>
      </c>
      <c r="V73" s="104">
        <f t="shared" si="8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7"/>
        <v>0</v>
      </c>
      <c r="V74" s="104">
        <f t="shared" si="8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7"/>
        <v>0</v>
      </c>
      <c r="V75" s="104">
        <f t="shared" si="8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9">IFERROR(I79/H79,0)</f>
        <v>0</v>
      </c>
      <c r="V79" s="104">
        <f t="shared" ref="V79:V83" si="10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9"/>
        <v>0</v>
      </c>
      <c r="V80" s="104">
        <f t="shared" si="10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85">
        <v>0.0</v>
      </c>
      <c r="H81" s="185">
        <v>0.0</v>
      </c>
      <c r="I81" s="185">
        <v>1.0</v>
      </c>
      <c r="J81" s="185">
        <v>0.0</v>
      </c>
      <c r="K81" s="185">
        <v>0.0</v>
      </c>
      <c r="L81" s="185">
        <v>0.0</v>
      </c>
      <c r="M81" s="185">
        <v>0.0</v>
      </c>
      <c r="N81" s="185">
        <v>0.0</v>
      </c>
      <c r="O81" s="185">
        <v>1.0</v>
      </c>
      <c r="P81" s="185">
        <v>0.0</v>
      </c>
      <c r="Q81" s="185">
        <v>0.0</v>
      </c>
      <c r="R81" s="185">
        <v>0.0</v>
      </c>
      <c r="S81" s="185">
        <v>0.0</v>
      </c>
      <c r="T81" s="185">
        <v>817.0</v>
      </c>
      <c r="U81" s="104">
        <f t="shared" si="9"/>
        <v>0</v>
      </c>
      <c r="V81" s="104">
        <f t="shared" si="10"/>
        <v>0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9"/>
        <v>0</v>
      </c>
      <c r="V82" s="104">
        <f t="shared" si="10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85">
        <v>0.0</v>
      </c>
      <c r="H83" s="185">
        <v>0.0</v>
      </c>
      <c r="I83" s="185">
        <v>0.0</v>
      </c>
      <c r="J83" s="185">
        <v>0.0</v>
      </c>
      <c r="K83" s="185">
        <v>0.0</v>
      </c>
      <c r="L83" s="185">
        <v>0.0</v>
      </c>
      <c r="M83" s="185">
        <v>0.0</v>
      </c>
      <c r="N83" s="185">
        <v>0.0</v>
      </c>
      <c r="O83" s="185">
        <v>0.0</v>
      </c>
      <c r="P83" s="185">
        <v>0.0</v>
      </c>
      <c r="Q83" s="185">
        <v>0.0</v>
      </c>
      <c r="R83" s="185">
        <v>0.0</v>
      </c>
      <c r="S83" s="185">
        <v>0.0</v>
      </c>
      <c r="T83" s="185">
        <v>0.0</v>
      </c>
      <c r="U83" s="104">
        <f t="shared" si="9"/>
        <v>0</v>
      </c>
      <c r="V83" s="104">
        <f t="shared" si="10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1">IFERROR(I85/H85,0)</f>
        <v>0</v>
      </c>
      <c r="V85" s="104">
        <f t="shared" ref="V85:V101" si="12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1"/>
        <v>0</v>
      </c>
      <c r="V86" s="104">
        <f t="shared" si="12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1"/>
        <v>0</v>
      </c>
      <c r="V87" s="104">
        <f t="shared" si="12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1"/>
        <v>0</v>
      </c>
      <c r="V88" s="104">
        <f t="shared" si="12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1"/>
        <v>0</v>
      </c>
      <c r="V89" s="104">
        <f t="shared" si="12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1"/>
        <v>0</v>
      </c>
      <c r="V90" s="104">
        <f t="shared" si="12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1"/>
        <v>0</v>
      </c>
      <c r="V91" s="104">
        <f t="shared" si="12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1"/>
        <v>0</v>
      </c>
      <c r="V92" s="104">
        <f t="shared" si="12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1"/>
        <v>0</v>
      </c>
      <c r="V93" s="104">
        <f t="shared" si="12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3">IFERROR(I103/H103,0)</f>
        <v>0</v>
      </c>
      <c r="V103" s="145">
        <f t="shared" ref="V103:V104" si="14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3"/>
        <v>0</v>
      </c>
      <c r="V104" s="145">
        <f t="shared" si="14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7636.32</v>
      </c>
      <c r="D2" s="10"/>
      <c r="E2" s="11">
        <f t="shared" ref="E2:R2" si="1">SUM(E5,E20,E23,E26,E29,E32)</f>
        <v>5933.32</v>
      </c>
      <c r="F2" s="11">
        <f t="shared" si="1"/>
        <v>20</v>
      </c>
      <c r="G2" s="11">
        <f t="shared" si="1"/>
        <v>12</v>
      </c>
      <c r="H2" s="11">
        <f t="shared" si="1"/>
        <v>4</v>
      </c>
      <c r="I2" s="11">
        <f t="shared" si="1"/>
        <v>1</v>
      </c>
      <c r="J2" s="11">
        <f t="shared" si="1"/>
        <v>1</v>
      </c>
      <c r="K2" s="11">
        <f t="shared" si="1"/>
        <v>4</v>
      </c>
      <c r="L2" s="11">
        <f t="shared" si="1"/>
        <v>0</v>
      </c>
      <c r="M2" s="11">
        <f t="shared" si="1"/>
        <v>42</v>
      </c>
      <c r="N2" s="11">
        <f t="shared" si="1"/>
        <v>6</v>
      </c>
      <c r="O2" s="11">
        <f t="shared" si="1"/>
        <v>3</v>
      </c>
      <c r="P2" s="11">
        <f t="shared" si="1"/>
        <v>5</v>
      </c>
      <c r="Q2" s="11">
        <f t="shared" si="1"/>
        <v>1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1909.08</v>
      </c>
      <c r="F4" s="24">
        <f>IFERROR((G2+R2)/F2,0)</f>
        <v>0.75</v>
      </c>
      <c r="G4" s="24">
        <f>IFERROR(H2/G2,0)</f>
        <v>0.3333333333</v>
      </c>
      <c r="H4" s="23">
        <f>(C2/C4)</f>
        <v>121.2114286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3.5</v>
      </c>
      <c r="N4" s="25"/>
      <c r="O4" s="24">
        <f>IFERROR(O2/N2,0)</f>
        <v>0.5</v>
      </c>
      <c r="P4" s="26"/>
      <c r="Q4" s="24">
        <f>IFERROR(Q2/P2,0)</f>
        <v>0.2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4110</v>
      </c>
      <c r="D5" s="31"/>
      <c r="E5" s="32">
        <f>SUMIFS(T:T,A:A,B5,D:D,"Y")</f>
        <v>2407</v>
      </c>
      <c r="F5" s="11">
        <f>SUMIF(A:A,B5,G:G)</f>
        <v>19</v>
      </c>
      <c r="G5" s="11">
        <f>SUMIF(A:A,B5,H:H)</f>
        <v>10</v>
      </c>
      <c r="H5" s="11">
        <f>SUMIF(A:A,B5,I:I)</f>
        <v>2</v>
      </c>
      <c r="I5" s="11">
        <f>SUMIF(A:A,B5,P:P)</f>
        <v>1</v>
      </c>
      <c r="J5" s="11">
        <f>SUMIF(A:A,B5,Q:Q)</f>
        <v>1</v>
      </c>
      <c r="K5" s="11">
        <f>SUMIF(A:A,B5,R:R)</f>
        <v>4</v>
      </c>
      <c r="L5" s="11">
        <f>SUMIF(A:A,B5,S:S)</f>
        <v>0</v>
      </c>
      <c r="M5" s="11">
        <f>SUMIF(A:A,B5,M:M)</f>
        <v>30</v>
      </c>
      <c r="N5" s="11">
        <f>SUMIF(A:A,B5,N:N)</f>
        <v>4</v>
      </c>
      <c r="O5" s="11">
        <f>SUMIF(A:A,B5,O:O)</f>
        <v>1</v>
      </c>
      <c r="P5" s="11">
        <f>SUMIF(A:A,B5,J:J)</f>
        <v>4</v>
      </c>
      <c r="Q5" s="11">
        <f>SUMIF(A:A,B5,K:K)</f>
        <v>0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2055</v>
      </c>
      <c r="F7" s="41">
        <f>IFERROR((G5+R5)/F5,0)</f>
        <v>0.6842105263</v>
      </c>
      <c r="G7" s="41">
        <f>IFERROR(H5/G5,0)</f>
        <v>0.2</v>
      </c>
      <c r="H7" s="40">
        <f>(C5/C7)</f>
        <v>171.25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2.307692308</v>
      </c>
      <c r="N7" s="42"/>
      <c r="O7" s="41">
        <f>IFERROR(O5/N5,0)</f>
        <v>0.25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2</v>
      </c>
      <c r="G8" s="50">
        <f>SUMIF(B37:B1137,B8,H37:H1137)</f>
        <v>1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1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1</v>
      </c>
      <c r="Q8" s="50">
        <f>SUMIF(B37:B1137,B8,K37:K1137)</f>
        <v>0</v>
      </c>
      <c r="R8" s="51">
        <f>SUMIF(B37:B1137,B8,L37:L1137)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0.5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1703</v>
      </c>
      <c r="D11" s="60"/>
      <c r="E11" s="48">
        <f>SUMIFS(T:T,B:B,B11,D:D,"Y")</f>
        <v>0</v>
      </c>
      <c r="F11" s="49">
        <f>SUMIF(B39:B1137,B11,G39:G1137)</f>
        <v>7</v>
      </c>
      <c r="G11" s="50">
        <f>SUMIF(B39:B1137,B11,H39:H1137)</f>
        <v>5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1</v>
      </c>
      <c r="L11" s="50">
        <f>SUMIF(B39:B1137,B11,S39:S1137)</f>
        <v>0</v>
      </c>
      <c r="M11" s="50">
        <f>SUMIF(B39:B1137,B11,M39:M1137)</f>
        <v>17</v>
      </c>
      <c r="N11" s="50">
        <f>SUMIF(B39:B1137,B11,N39:N1137)</f>
        <v>2</v>
      </c>
      <c r="O11" s="50">
        <f>SUMIF(B39:B1137,B11,O39:O1137)</f>
        <v>1</v>
      </c>
      <c r="P11" s="50">
        <f>SUMIF(B39:B1137,B11,J39:J1137)</f>
        <v>3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1703</v>
      </c>
      <c r="F13" s="24">
        <f>IFERROR((G11+R11)/F11,0)</f>
        <v>0.8571428571</v>
      </c>
      <c r="G13" s="24">
        <f>IFERROR(H11/G11,0)</f>
        <v>0.2</v>
      </c>
      <c r="H13" s="23">
        <f>(C11/C13)</f>
        <v>243.2857143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2.833333333</v>
      </c>
      <c r="N13" s="25"/>
      <c r="O13" s="24">
        <f>IFERROR(O11/N11,0)</f>
        <v>0.5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4</v>
      </c>
      <c r="G14" s="50">
        <f>SUMIF(B39:B1137,B14,H39:H1137)</f>
        <v>3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2</v>
      </c>
      <c r="L14" s="50">
        <f>SUMIF(B39:B1137,B14,S39:S1137)</f>
        <v>0</v>
      </c>
      <c r="M14" s="50">
        <f>SUMIF(B39:B1137,B14,M39:M1137)</f>
        <v>6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1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1.5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2407</v>
      </c>
      <c r="D17" s="60"/>
      <c r="E17" s="48">
        <f>SUMIFS(T:T,B:B,B17,D:D,"Y")</f>
        <v>2407</v>
      </c>
      <c r="F17" s="49">
        <f>SUMIF(B44:B1137,B17,G44:G1137)</f>
        <v>6</v>
      </c>
      <c r="G17" s="50">
        <f>SUMIF(B44:B1137,B17,H44:H1137)</f>
        <v>1</v>
      </c>
      <c r="H17" s="50">
        <f>SUMIF(B44:B1137,B17,I44:I1137)</f>
        <v>1</v>
      </c>
      <c r="I17" s="50">
        <f>SUMIF(B44:B1137,B17,P44:P1137)</f>
        <v>1</v>
      </c>
      <c r="J17" s="50">
        <f>SUMIF(B44:B1137,B17,Q44:Q1137)</f>
        <v>1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6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2407</v>
      </c>
      <c r="F19" s="24">
        <f>IFERROR((G17+R17)/F17,0)</f>
        <v>0.1666666667</v>
      </c>
      <c r="G19" s="24">
        <f>IFERROR(H17/G17,0)</f>
        <v>1</v>
      </c>
      <c r="H19" s="23">
        <f>(C17/C19)</f>
        <v>601.75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6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3526.32</v>
      </c>
      <c r="D26" s="31"/>
      <c r="E26" s="64">
        <f>SUMIFS(T:T,A:A,B26,D:D,"Y")</f>
        <v>3526.32</v>
      </c>
      <c r="F26" s="9">
        <f>SUMIF(A:A,B26,G:G)</f>
        <v>1</v>
      </c>
      <c r="G26" s="11">
        <f>SUMIF(A:A,B26,H:H)</f>
        <v>2</v>
      </c>
      <c r="H26" s="11">
        <f>SUMIF(A:A,B26,I:I)</f>
        <v>2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12</v>
      </c>
      <c r="N26" s="11">
        <f>SUMIF(A:A,B26,N:N)</f>
        <v>2</v>
      </c>
      <c r="O26" s="11">
        <f>SUMIF(A:A,B26,O:O)</f>
        <v>2</v>
      </c>
      <c r="P26" s="11">
        <f>SUMIF(A:A,B26,J:J)</f>
        <v>1</v>
      </c>
      <c r="Q26" s="11">
        <f>SUMIF(A:A,B26,K:K)</f>
        <v>1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1763.16</v>
      </c>
      <c r="F28" s="24">
        <f>IFERROR((G26+R26)/F26,0)</f>
        <v>2</v>
      </c>
      <c r="G28" s="24">
        <f>IFERROR(H26/G26,0)</f>
        <v>1</v>
      </c>
      <c r="H28" s="23">
        <f>(C26/C28)</f>
        <v>705.264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6</v>
      </c>
      <c r="N28" s="25"/>
      <c r="O28" s="24">
        <f>IFERROR(O26/N26,0)</f>
        <v>1</v>
      </c>
      <c r="P28" s="26"/>
      <c r="Q28" s="24">
        <f>IFERROR(Q26/P26,0)</f>
        <v>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2.0</v>
      </c>
      <c r="H39" s="185">
        <v>1.0</v>
      </c>
      <c r="I39" s="185">
        <v>0.0</v>
      </c>
      <c r="J39" s="185">
        <v>1.0</v>
      </c>
      <c r="K39" s="185">
        <v>0.0</v>
      </c>
      <c r="L39" s="185">
        <v>1.0</v>
      </c>
      <c r="M39" s="185">
        <v>1.0</v>
      </c>
      <c r="N39" s="185">
        <v>1.0</v>
      </c>
      <c r="O39" s="185">
        <v>0.0</v>
      </c>
      <c r="P39" s="185">
        <v>0.0</v>
      </c>
      <c r="Q39" s="185">
        <v>0.0</v>
      </c>
      <c r="R39" s="185">
        <v>1.0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0.0</v>
      </c>
      <c r="H45" s="185">
        <v>2.0</v>
      </c>
      <c r="I45" s="185">
        <v>0.0</v>
      </c>
      <c r="J45" s="185">
        <v>2.0</v>
      </c>
      <c r="K45" s="185">
        <v>0.0</v>
      </c>
      <c r="L45" s="185">
        <v>0.0</v>
      </c>
      <c r="M45" s="185">
        <v>7.0</v>
      </c>
      <c r="N45" s="185">
        <v>0.0</v>
      </c>
      <c r="O45" s="185">
        <v>0.0</v>
      </c>
      <c r="P45" s="185">
        <v>0.0</v>
      </c>
      <c r="Q45" s="185">
        <v>0.0</v>
      </c>
      <c r="R45" s="185">
        <v>1.0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0.0</v>
      </c>
      <c r="H46" s="185">
        <v>1.0</v>
      </c>
      <c r="I46" s="185">
        <v>0.0</v>
      </c>
      <c r="J46" s="185">
        <v>1.0</v>
      </c>
      <c r="K46" s="185">
        <v>0.0</v>
      </c>
      <c r="L46" s="185">
        <v>1.0</v>
      </c>
      <c r="M46" s="185">
        <v>2.0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1.0</v>
      </c>
      <c r="H47" s="185">
        <v>1.0</v>
      </c>
      <c r="I47" s="185">
        <v>0.0</v>
      </c>
      <c r="J47" s="185">
        <v>0.0</v>
      </c>
      <c r="K47" s="185">
        <v>0.0</v>
      </c>
      <c r="L47" s="185">
        <v>0.0</v>
      </c>
      <c r="M47" s="185">
        <v>6.0</v>
      </c>
      <c r="N47" s="185">
        <v>1.0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1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6.0</v>
      </c>
      <c r="H49" s="185">
        <v>1.0</v>
      </c>
      <c r="I49" s="185">
        <v>1.0</v>
      </c>
      <c r="J49" s="185">
        <v>0.0</v>
      </c>
      <c r="K49" s="185">
        <v>0.0</v>
      </c>
      <c r="L49" s="185">
        <v>0.0</v>
      </c>
      <c r="M49" s="185">
        <v>2.0</v>
      </c>
      <c r="N49" s="185">
        <v>1.0</v>
      </c>
      <c r="O49" s="185">
        <v>1.0</v>
      </c>
      <c r="P49" s="185">
        <v>0.0</v>
      </c>
      <c r="Q49" s="185">
        <v>0.0</v>
      </c>
      <c r="R49" s="185">
        <v>0.0</v>
      </c>
      <c r="S49" s="185">
        <v>0.0</v>
      </c>
      <c r="T49" s="185">
        <v>1703.0</v>
      </c>
      <c r="U49" s="104">
        <f t="shared" si="2"/>
        <v>1</v>
      </c>
      <c r="V49" s="104">
        <f t="shared" si="3"/>
        <v>0.1666666667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1.0</v>
      </c>
      <c r="H50" s="185">
        <v>1.0</v>
      </c>
      <c r="I50" s="185">
        <v>0.0</v>
      </c>
      <c r="J50" s="185">
        <v>0.0</v>
      </c>
      <c r="K50" s="185">
        <v>0.0</v>
      </c>
      <c r="L50" s="185">
        <v>0.0</v>
      </c>
      <c r="M50" s="185">
        <v>1.0</v>
      </c>
      <c r="N50" s="185">
        <v>0.0</v>
      </c>
      <c r="O50" s="185">
        <v>0.0</v>
      </c>
      <c r="P50" s="185">
        <v>0.0</v>
      </c>
      <c r="Q50" s="185">
        <v>0.0</v>
      </c>
      <c r="R50" s="185">
        <v>1.0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1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1.0</v>
      </c>
      <c r="H54" s="185">
        <v>1.0</v>
      </c>
      <c r="I54" s="185">
        <v>0.0</v>
      </c>
      <c r="J54" s="185">
        <v>0.0</v>
      </c>
      <c r="K54" s="185">
        <v>0.0</v>
      </c>
      <c r="L54" s="185">
        <v>0.0</v>
      </c>
      <c r="M54" s="185">
        <v>1.0</v>
      </c>
      <c r="N54" s="185">
        <v>1.0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1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>
        <v>0.0</v>
      </c>
      <c r="H55" s="103">
        <v>0.0</v>
      </c>
      <c r="I55" s="103">
        <v>0.0</v>
      </c>
      <c r="J55" s="103">
        <v>0.0</v>
      </c>
      <c r="K55" s="103">
        <v>0.0</v>
      </c>
      <c r="L55" s="103">
        <v>0.0</v>
      </c>
      <c r="M55" s="103">
        <v>0.0</v>
      </c>
      <c r="N55" s="103">
        <v>0.0</v>
      </c>
      <c r="O55" s="103">
        <v>0.0</v>
      </c>
      <c r="P55" s="103">
        <v>0.0</v>
      </c>
      <c r="Q55" s="103">
        <v>0.0</v>
      </c>
      <c r="R55" s="103">
        <v>0.0</v>
      </c>
      <c r="S55" s="103">
        <v>0.0</v>
      </c>
      <c r="T55" s="103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2.0</v>
      </c>
      <c r="H56" s="185">
        <v>1.0</v>
      </c>
      <c r="I56" s="185">
        <v>0.0</v>
      </c>
      <c r="J56" s="185">
        <v>0.0</v>
      </c>
      <c r="K56" s="185">
        <v>0.0</v>
      </c>
      <c r="L56" s="185">
        <v>1.0</v>
      </c>
      <c r="M56" s="185">
        <v>4.0</v>
      </c>
      <c r="N56" s="185">
        <v>0.0</v>
      </c>
      <c r="O56" s="185">
        <v>0.0</v>
      </c>
      <c r="P56" s="185">
        <v>0.0</v>
      </c>
      <c r="Q56" s="185">
        <v>0.0</v>
      </c>
      <c r="R56" s="185">
        <v>1.0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1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6.0</v>
      </c>
      <c r="H57" s="185">
        <v>1.0</v>
      </c>
      <c r="I57" s="185">
        <v>1.0</v>
      </c>
      <c r="J57" s="185">
        <v>0.0</v>
      </c>
      <c r="K57" s="185">
        <v>0.0</v>
      </c>
      <c r="L57" s="185">
        <v>0.0</v>
      </c>
      <c r="M57" s="185">
        <v>6.0</v>
      </c>
      <c r="N57" s="185">
        <v>0.0</v>
      </c>
      <c r="O57" s="185">
        <v>0.0</v>
      </c>
      <c r="P57" s="185">
        <v>1.0</v>
      </c>
      <c r="Q57" s="185">
        <v>1.0</v>
      </c>
      <c r="R57" s="185">
        <v>0.0</v>
      </c>
      <c r="S57" s="185">
        <v>0.0</v>
      </c>
      <c r="T57" s="185">
        <v>2407.0</v>
      </c>
      <c r="U57" s="104">
        <f t="shared" si="2"/>
        <v>1</v>
      </c>
      <c r="V57" s="104">
        <f t="shared" si="3"/>
        <v>0.1666666667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85">
        <v>0.0</v>
      </c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85">
        <v>1.0</v>
      </c>
      <c r="H81" s="185">
        <v>2.0</v>
      </c>
      <c r="I81" s="185">
        <v>2.0</v>
      </c>
      <c r="J81" s="185">
        <v>1.0</v>
      </c>
      <c r="K81" s="185">
        <v>1.0</v>
      </c>
      <c r="L81" s="185">
        <v>0.0</v>
      </c>
      <c r="M81" s="185">
        <v>12.0</v>
      </c>
      <c r="N81" s="185">
        <v>2.0</v>
      </c>
      <c r="O81" s="185">
        <v>2.0</v>
      </c>
      <c r="P81" s="185">
        <v>0.0</v>
      </c>
      <c r="Q81" s="185">
        <v>0.0</v>
      </c>
      <c r="R81" s="185">
        <v>0.0</v>
      </c>
      <c r="S81" s="185">
        <v>0.0</v>
      </c>
      <c r="T81" s="185">
        <v>3526.32</v>
      </c>
      <c r="U81" s="104">
        <f t="shared" si="8"/>
        <v>1</v>
      </c>
      <c r="V81" s="104">
        <f t="shared" si="9"/>
        <v>2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85">
        <v>0.0</v>
      </c>
      <c r="H83" s="185">
        <v>0.0</v>
      </c>
      <c r="I83" s="185">
        <v>0.0</v>
      </c>
      <c r="J83" s="185">
        <v>0.0</v>
      </c>
      <c r="K83" s="185">
        <v>0.0</v>
      </c>
      <c r="L83" s="185">
        <v>0.0</v>
      </c>
      <c r="M83" s="185">
        <v>0.0</v>
      </c>
      <c r="N83" s="185">
        <v>0.0</v>
      </c>
      <c r="O83" s="185">
        <v>0.0</v>
      </c>
      <c r="P83" s="185">
        <v>0.0</v>
      </c>
      <c r="Q83" s="185">
        <v>0.0</v>
      </c>
      <c r="R83" s="185">
        <v>0.0</v>
      </c>
      <c r="S83" s="185">
        <v>0.0</v>
      </c>
      <c r="T83" s="185">
        <v>0.0</v>
      </c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7941.24</v>
      </c>
      <c r="D2" s="10"/>
      <c r="E2" s="11">
        <f t="shared" ref="E2:R2" si="1">SUM(E5,E20,E23,E26,E29,E32)</f>
        <v>5986.24</v>
      </c>
      <c r="F2" s="11">
        <f t="shared" si="1"/>
        <v>26</v>
      </c>
      <c r="G2" s="11">
        <f t="shared" si="1"/>
        <v>14</v>
      </c>
      <c r="H2" s="11">
        <f t="shared" si="1"/>
        <v>6</v>
      </c>
      <c r="I2" s="11">
        <f t="shared" si="1"/>
        <v>3</v>
      </c>
      <c r="J2" s="11">
        <f t="shared" si="1"/>
        <v>2</v>
      </c>
      <c r="K2" s="11">
        <f t="shared" si="1"/>
        <v>5</v>
      </c>
      <c r="L2" s="11">
        <f t="shared" si="1"/>
        <v>2</v>
      </c>
      <c r="M2" s="11">
        <f t="shared" si="1"/>
        <v>48</v>
      </c>
      <c r="N2" s="11">
        <f t="shared" si="1"/>
        <v>5</v>
      </c>
      <c r="O2" s="11">
        <f t="shared" si="1"/>
        <v>3</v>
      </c>
      <c r="P2" s="11">
        <f t="shared" si="1"/>
        <v>6</v>
      </c>
      <c r="Q2" s="11">
        <f t="shared" si="1"/>
        <v>2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1323.54</v>
      </c>
      <c r="F4" s="24">
        <f>IFERROR((G2+R2)/F2,0)</f>
        <v>0.5384615385</v>
      </c>
      <c r="G4" s="24">
        <f>IFERROR(H2/G2,0)</f>
        <v>0.4285714286</v>
      </c>
      <c r="H4" s="23">
        <f>(C2/C4)</f>
        <v>126.0514286</v>
      </c>
      <c r="I4" s="25"/>
      <c r="J4" s="24">
        <f>IFERROR(J2/I2,0)</f>
        <v>0.6666666667</v>
      </c>
      <c r="K4" s="25"/>
      <c r="L4" s="24">
        <f>IFERROR(L2/K2,0)</f>
        <v>0.4</v>
      </c>
      <c r="M4" s="26">
        <f>IFERROR(M2/G2,0)</f>
        <v>3.428571429</v>
      </c>
      <c r="N4" s="25"/>
      <c r="O4" s="24">
        <f>IFERROR(O2/N2,0)</f>
        <v>0.6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7110</v>
      </c>
      <c r="D5" s="31"/>
      <c r="E5" s="32">
        <f>SUMIFS(T:T,A:A,B5,D:D,"Y")</f>
        <v>5155</v>
      </c>
      <c r="F5" s="11">
        <f>SUMIF(A:A,B5,G:G)</f>
        <v>26</v>
      </c>
      <c r="G5" s="11">
        <f>SUMIF(A:A,B5,H:H)</f>
        <v>13</v>
      </c>
      <c r="H5" s="11">
        <f>SUMIF(A:A,B5,I:I)</f>
        <v>5</v>
      </c>
      <c r="I5" s="11">
        <f>SUMIF(A:A,B5,P:P)</f>
        <v>3</v>
      </c>
      <c r="J5" s="11">
        <f>SUMIF(A:A,B5,Q:Q)</f>
        <v>2</v>
      </c>
      <c r="K5" s="11">
        <f>SUMIF(A:A,B5,R:R)</f>
        <v>4</v>
      </c>
      <c r="L5" s="11">
        <f>SUMIF(A:A,B5,S:S)</f>
        <v>1</v>
      </c>
      <c r="M5" s="11">
        <f>SUMIF(A:A,B5,M:M)</f>
        <v>46</v>
      </c>
      <c r="N5" s="11">
        <f>SUMIF(A:A,B5,N:N)</f>
        <v>4</v>
      </c>
      <c r="O5" s="11">
        <f>SUMIF(A:A,B5,O:O)</f>
        <v>2</v>
      </c>
      <c r="P5" s="11">
        <f>SUMIF(A:A,B5,J:J)</f>
        <v>5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1422</v>
      </c>
      <c r="F7" s="41">
        <f>IFERROR((G5+R5)/F5,0)</f>
        <v>0.5</v>
      </c>
      <c r="G7" s="41">
        <f>IFERROR(H5/G5,0)</f>
        <v>0.3846153846</v>
      </c>
      <c r="H7" s="40">
        <f>(C5/C7)</f>
        <v>296.25</v>
      </c>
      <c r="I7" s="42"/>
      <c r="J7" s="41">
        <f>IFERROR(J5/I5,0)</f>
        <v>0.6666666667</v>
      </c>
      <c r="K7" s="42"/>
      <c r="L7" s="41">
        <f>IFERROR(L5/K5,0)</f>
        <v>0.25</v>
      </c>
      <c r="M7" s="43">
        <f>IFERROR(M5/SUM(R5+G5,0),"")</f>
        <v>3.538461538</v>
      </c>
      <c r="N7" s="42"/>
      <c r="O7" s="41">
        <f>IFERROR(O5/N5,0)</f>
        <v>0.5</v>
      </c>
      <c r="P7" s="43"/>
      <c r="Q7" s="41">
        <f>IFERROR(Q5/P5,0)</f>
        <v>0.2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2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7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2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2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3.5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1955</v>
      </c>
      <c r="D11" s="60"/>
      <c r="E11" s="48">
        <f>SUMIFS(T:T,B:B,B11,D:D,"Y")</f>
        <v>0</v>
      </c>
      <c r="F11" s="49">
        <f>SUMIF(B39:B1137,B11,G39:G1137)</f>
        <v>5</v>
      </c>
      <c r="G11" s="50">
        <f>SUMIF(B39:B1137,B11,H39:H1137)</f>
        <v>5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3</v>
      </c>
      <c r="L11" s="50">
        <f>SUMIF(B39:B1137,B11,S39:S1137)</f>
        <v>1</v>
      </c>
      <c r="M11" s="50">
        <f>SUMIF(B39:B1137,B11,M39:M1137)</f>
        <v>22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2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1955</v>
      </c>
      <c r="F13" s="24">
        <f>IFERROR((G11+R11)/F11,0)</f>
        <v>1</v>
      </c>
      <c r="G13" s="24">
        <f>IFERROR(H11/G11,0)</f>
        <v>0.2</v>
      </c>
      <c r="H13" s="23">
        <f>(C11/C13)</f>
        <v>279.2857143</v>
      </c>
      <c r="I13" s="25"/>
      <c r="J13" s="24">
        <f>IFERROR(J11/I11,0)</f>
        <v>0</v>
      </c>
      <c r="K13" s="25"/>
      <c r="L13" s="24">
        <f>IFERROR(L11/K11,0)</f>
        <v>0.3333333333</v>
      </c>
      <c r="M13" s="26">
        <f>IFERROR(M11/SUM(R11+G11,0),"")</f>
        <v>4.4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6</v>
      </c>
      <c r="G14" s="50">
        <f>SUMIF(B39:B1137,B14,H39:H1137)</f>
        <v>1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2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0.1666666667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2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5155</v>
      </c>
      <c r="D17" s="60"/>
      <c r="E17" s="48">
        <f>SUMIFS(T:T,B:B,B17,D:D,"Y")</f>
        <v>5155</v>
      </c>
      <c r="F17" s="49">
        <f>SUMIF(B44:B1137,B17,G44:G1137)</f>
        <v>14</v>
      </c>
      <c r="G17" s="50">
        <f>SUMIF(B44:B1137,B17,H44:H1137)</f>
        <v>5</v>
      </c>
      <c r="H17" s="50">
        <f>SUMIF(B44:B1137,B17,I44:I1137)</f>
        <v>4</v>
      </c>
      <c r="I17" s="50">
        <f>SUMIF(B44:B1137,B17,P44:P1137)</f>
        <v>3</v>
      </c>
      <c r="J17" s="50">
        <f>SUMIF(B44:B1137,B17,Q44:Q1137)</f>
        <v>2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15</v>
      </c>
      <c r="N17" s="50">
        <f>SUMIF(B44:B1137,B17,N44:N1137)</f>
        <v>2</v>
      </c>
      <c r="O17" s="50">
        <f>SUMIF(B44:B1137,B17,O44:O1137)</f>
        <v>2</v>
      </c>
      <c r="P17" s="50">
        <f>SUMIF(B44:B1137,B17,J44:J1137)</f>
        <v>1</v>
      </c>
      <c r="Q17" s="50">
        <f>SUMIF(B44:B1137,B17,K44:K1137)</f>
        <v>1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1288.75</v>
      </c>
      <c r="F19" s="24">
        <f>IFERROR((G17+R17)/F17,0)</f>
        <v>0.3571428571</v>
      </c>
      <c r="G19" s="24">
        <f>IFERROR(H17/G17,0)</f>
        <v>0.8</v>
      </c>
      <c r="H19" s="23">
        <f>(C17/C19)</f>
        <v>1288.75</v>
      </c>
      <c r="I19" s="25"/>
      <c r="J19" s="24">
        <f>IFERROR(J17/I17,0)</f>
        <v>0.6666666667</v>
      </c>
      <c r="K19" s="25"/>
      <c r="L19" s="24">
        <f>IFERROR(L17/K17,0)</f>
        <v>0</v>
      </c>
      <c r="M19" s="26">
        <f>IFERROR(M17/SUM(R17+G17,0),"")</f>
        <v>3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831.24</v>
      </c>
      <c r="D26" s="31"/>
      <c r="E26" s="64">
        <f>SUMIFS(T:T,A:A,B26,D:D,"Y")</f>
        <v>831.24</v>
      </c>
      <c r="F26" s="9">
        <f>SUMIF(A:A,B26,G:G)</f>
        <v>0</v>
      </c>
      <c r="G26" s="11">
        <f>SUMIF(A:A,B26,H:H)</f>
        <v>1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1</v>
      </c>
      <c r="M26" s="11">
        <f>SUMIF(A:A,B26,M:M)</f>
        <v>2</v>
      </c>
      <c r="N26" s="11">
        <f>SUMIF(A:A,B26,N:N)</f>
        <v>1</v>
      </c>
      <c r="O26" s="11">
        <f>SUMIF(A:A,B26,O:O)</f>
        <v>1</v>
      </c>
      <c r="P26" s="11">
        <f>SUMIF(A:A,B26,J:J)</f>
        <v>1</v>
      </c>
      <c r="Q26" s="11">
        <f>SUMIF(A:A,B26,K:K)</f>
        <v>1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831.24</v>
      </c>
      <c r="F28" s="24">
        <f>IFERROR((G26+R26)/F26,0)</f>
        <v>0</v>
      </c>
      <c r="G28" s="24">
        <f>IFERROR(H26/G26,0)</f>
        <v>1</v>
      </c>
      <c r="H28" s="23">
        <f>(C26/C28)</f>
        <v>166.248</v>
      </c>
      <c r="I28" s="25"/>
      <c r="J28" s="24">
        <f>IFERROR(J26/I26,0)</f>
        <v>0</v>
      </c>
      <c r="K28" s="25"/>
      <c r="L28" s="24">
        <f>IFERROR(L26/K26,0)</f>
        <v>1</v>
      </c>
      <c r="M28" s="26">
        <f>IFERROR(M26/SUM(R26+G26,0),"")</f>
        <v>2</v>
      </c>
      <c r="N28" s="25"/>
      <c r="O28" s="24">
        <f>IFERROR(O26/N26,0)</f>
        <v>1</v>
      </c>
      <c r="P28" s="26"/>
      <c r="Q28" s="24">
        <f>IFERROR(Q26/P26,0)</f>
        <v>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1.0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0.0</v>
      </c>
      <c r="M41" s="185">
        <v>7.0</v>
      </c>
      <c r="N41" s="185">
        <v>1.0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0.0</v>
      </c>
      <c r="H45" s="185">
        <v>2.0</v>
      </c>
      <c r="I45" s="185">
        <v>0.0</v>
      </c>
      <c r="J45" s="185">
        <v>1.0</v>
      </c>
      <c r="K45" s="185">
        <v>0.0</v>
      </c>
      <c r="L45" s="185">
        <v>0.0</v>
      </c>
      <c r="M45" s="185">
        <v>7.0</v>
      </c>
      <c r="N45" s="185">
        <v>0.0</v>
      </c>
      <c r="O45" s="185">
        <v>0.0</v>
      </c>
      <c r="P45" s="185">
        <v>0.0</v>
      </c>
      <c r="Q45" s="185">
        <v>0.0</v>
      </c>
      <c r="R45" s="185">
        <v>1.0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1.0</v>
      </c>
      <c r="H46" s="185">
        <v>2.0</v>
      </c>
      <c r="I46" s="185">
        <v>0.0</v>
      </c>
      <c r="J46" s="185">
        <v>1.0</v>
      </c>
      <c r="K46" s="185">
        <v>0.0</v>
      </c>
      <c r="L46" s="185">
        <v>0.0</v>
      </c>
      <c r="M46" s="185">
        <v>8.0</v>
      </c>
      <c r="N46" s="185">
        <v>1.0</v>
      </c>
      <c r="O46" s="185">
        <v>0.0</v>
      </c>
      <c r="P46" s="185">
        <v>0.0</v>
      </c>
      <c r="Q46" s="185">
        <v>0.0</v>
      </c>
      <c r="R46" s="185">
        <v>1.0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2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2.0</v>
      </c>
      <c r="H47" s="185">
        <v>1.0</v>
      </c>
      <c r="I47" s="185">
        <v>1.0</v>
      </c>
      <c r="J47" s="185">
        <v>0.0</v>
      </c>
      <c r="K47" s="185">
        <v>0.0</v>
      </c>
      <c r="L47" s="185">
        <v>0.0</v>
      </c>
      <c r="M47" s="185">
        <v>7.0</v>
      </c>
      <c r="N47" s="185">
        <v>0.0</v>
      </c>
      <c r="O47" s="185">
        <v>0.0</v>
      </c>
      <c r="P47" s="185">
        <v>0.0</v>
      </c>
      <c r="Q47" s="185">
        <v>0.0</v>
      </c>
      <c r="R47" s="185">
        <v>1.0</v>
      </c>
      <c r="S47" s="185">
        <v>1.0</v>
      </c>
      <c r="T47" s="185">
        <v>1955.0</v>
      </c>
      <c r="U47" s="104">
        <f t="shared" si="2"/>
        <v>1</v>
      </c>
      <c r="V47" s="104">
        <f t="shared" si="3"/>
        <v>0.5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2.0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5.0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1.0</v>
      </c>
      <c r="H56" s="185">
        <v>1.0</v>
      </c>
      <c r="I56" s="185">
        <v>0.0</v>
      </c>
      <c r="J56" s="185">
        <v>0.0</v>
      </c>
      <c r="K56" s="185">
        <v>0.0</v>
      </c>
      <c r="L56" s="185">
        <v>0.0</v>
      </c>
      <c r="M56" s="185">
        <v>2.0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1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11.0</v>
      </c>
      <c r="H57" s="185">
        <v>4.0</v>
      </c>
      <c r="I57" s="185">
        <v>3.0</v>
      </c>
      <c r="J57" s="185">
        <v>0.0</v>
      </c>
      <c r="K57" s="185">
        <v>0.0</v>
      </c>
      <c r="L57" s="185">
        <v>0.0</v>
      </c>
      <c r="M57" s="185">
        <v>15.0</v>
      </c>
      <c r="N57" s="185">
        <v>1.0</v>
      </c>
      <c r="O57" s="185">
        <v>1.0</v>
      </c>
      <c r="P57" s="185">
        <v>3.0</v>
      </c>
      <c r="Q57" s="185">
        <v>2.0</v>
      </c>
      <c r="R57" s="185">
        <v>0.0</v>
      </c>
      <c r="S57" s="185">
        <v>0.0</v>
      </c>
      <c r="T57" s="185">
        <v>3851.0</v>
      </c>
      <c r="U57" s="104">
        <f t="shared" si="2"/>
        <v>0.75</v>
      </c>
      <c r="V57" s="104">
        <f t="shared" si="3"/>
        <v>0.3636363636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85">
        <v>3.0</v>
      </c>
      <c r="H58" s="185">
        <v>1.0</v>
      </c>
      <c r="I58" s="185">
        <v>1.0</v>
      </c>
      <c r="J58" s="185">
        <v>1.0</v>
      </c>
      <c r="K58" s="185">
        <v>1.0</v>
      </c>
      <c r="L58" s="185">
        <v>0.0</v>
      </c>
      <c r="M58" s="185">
        <v>0.0</v>
      </c>
      <c r="N58" s="185">
        <v>1.0</v>
      </c>
      <c r="O58" s="185">
        <v>1.0</v>
      </c>
      <c r="P58" s="185">
        <v>0.0</v>
      </c>
      <c r="Q58" s="185">
        <v>0.0</v>
      </c>
      <c r="R58" s="185">
        <v>0.0</v>
      </c>
      <c r="S58" s="185">
        <v>0.0</v>
      </c>
      <c r="T58" s="185">
        <v>1304.0</v>
      </c>
      <c r="U58" s="104">
        <f t="shared" si="2"/>
        <v>1</v>
      </c>
      <c r="V58" s="104">
        <f t="shared" si="3"/>
        <v>0.3333333333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85">
        <v>0.0</v>
      </c>
      <c r="H81" s="185">
        <v>1.0</v>
      </c>
      <c r="I81" s="185">
        <v>1.0</v>
      </c>
      <c r="J81" s="185">
        <v>1.0</v>
      </c>
      <c r="K81" s="185">
        <v>1.0</v>
      </c>
      <c r="L81" s="185">
        <v>0.0</v>
      </c>
      <c r="M81" s="185">
        <v>2.0</v>
      </c>
      <c r="N81" s="185">
        <v>1.0</v>
      </c>
      <c r="O81" s="185">
        <v>1.0</v>
      </c>
      <c r="P81" s="185">
        <v>0.0</v>
      </c>
      <c r="Q81" s="185">
        <v>0.0</v>
      </c>
      <c r="R81" s="185">
        <v>1.0</v>
      </c>
      <c r="S81" s="185">
        <v>1.0</v>
      </c>
      <c r="T81" s="185">
        <v>831.24</v>
      </c>
      <c r="U81" s="104">
        <f t="shared" si="8"/>
        <v>1</v>
      </c>
      <c r="V81" s="104">
        <f t="shared" si="9"/>
        <v>0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85">
        <v>0.0</v>
      </c>
      <c r="H83" s="185">
        <v>0.0</v>
      </c>
      <c r="I83" s="185">
        <v>0.0</v>
      </c>
      <c r="J83" s="185">
        <v>0.0</v>
      </c>
      <c r="K83" s="185">
        <v>0.0</v>
      </c>
      <c r="L83" s="185">
        <v>0.0</v>
      </c>
      <c r="M83" s="185">
        <v>0.0</v>
      </c>
      <c r="N83" s="185">
        <v>0.0</v>
      </c>
      <c r="O83" s="185">
        <v>0.0</v>
      </c>
      <c r="P83" s="185">
        <v>0.0</v>
      </c>
      <c r="Q83" s="185">
        <v>0.0</v>
      </c>
      <c r="R83" s="185">
        <v>0.0</v>
      </c>
      <c r="S83" s="185">
        <v>0.0</v>
      </c>
      <c r="T83" s="185">
        <v>0.0</v>
      </c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7369</v>
      </c>
      <c r="D2" s="10"/>
      <c r="E2" s="11">
        <f t="shared" ref="E2:R2" si="1">SUM(E5,E20,E23,E26,E29,E32)</f>
        <v>6064</v>
      </c>
      <c r="F2" s="11">
        <f t="shared" si="1"/>
        <v>19</v>
      </c>
      <c r="G2" s="11">
        <f t="shared" si="1"/>
        <v>12</v>
      </c>
      <c r="H2" s="11">
        <f t="shared" si="1"/>
        <v>4</v>
      </c>
      <c r="I2" s="11">
        <f t="shared" si="1"/>
        <v>3</v>
      </c>
      <c r="J2" s="11">
        <f t="shared" si="1"/>
        <v>1</v>
      </c>
      <c r="K2" s="11">
        <f t="shared" si="1"/>
        <v>3</v>
      </c>
      <c r="L2" s="11">
        <f t="shared" si="1"/>
        <v>2</v>
      </c>
      <c r="M2" s="11">
        <f t="shared" si="1"/>
        <v>40</v>
      </c>
      <c r="N2" s="11">
        <f t="shared" si="1"/>
        <v>5</v>
      </c>
      <c r="O2" s="11">
        <f t="shared" si="1"/>
        <v>1</v>
      </c>
      <c r="P2" s="11">
        <f t="shared" si="1"/>
        <v>4</v>
      </c>
      <c r="Q2" s="11">
        <f t="shared" si="1"/>
        <v>1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1842.25</v>
      </c>
      <c r="F4" s="24">
        <f>IFERROR((G2+R2)/F2,0)</f>
        <v>0.7368421053</v>
      </c>
      <c r="G4" s="24">
        <f>IFERROR(H2/G2,0)</f>
        <v>0.3333333333</v>
      </c>
      <c r="H4" s="23">
        <f>(C2/C4)</f>
        <v>116.968254</v>
      </c>
      <c r="I4" s="25"/>
      <c r="J4" s="24">
        <f>IFERROR(J2/I2,0)</f>
        <v>0.3333333333</v>
      </c>
      <c r="K4" s="25"/>
      <c r="L4" s="24">
        <f>IFERROR(L2/K2,0)</f>
        <v>0.6666666667</v>
      </c>
      <c r="M4" s="26">
        <f>IFERROR(M2/G2,0)</f>
        <v>3.333333333</v>
      </c>
      <c r="N4" s="25"/>
      <c r="O4" s="24">
        <f>IFERROR(O2/N2,0)</f>
        <v>0.2</v>
      </c>
      <c r="P4" s="26"/>
      <c r="Q4" s="24">
        <f>IFERROR(Q2/P2,0)</f>
        <v>0.25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7369</v>
      </c>
      <c r="D5" s="31"/>
      <c r="E5" s="32">
        <f>SUMIFS(T:T,A:A,B5,D:D,"Y")</f>
        <v>6064</v>
      </c>
      <c r="F5" s="11">
        <f>SUMIF(A:A,B5,G:G)</f>
        <v>19</v>
      </c>
      <c r="G5" s="11">
        <f>SUMIF(A:A,B5,H:H)</f>
        <v>12</v>
      </c>
      <c r="H5" s="11">
        <f>SUMIF(A:A,B5,I:I)</f>
        <v>4</v>
      </c>
      <c r="I5" s="11">
        <f>SUMIF(A:A,B5,P:P)</f>
        <v>3</v>
      </c>
      <c r="J5" s="11">
        <f>SUMIF(A:A,B5,Q:Q)</f>
        <v>1</v>
      </c>
      <c r="K5" s="11">
        <f>SUMIF(A:A,B5,R:R)</f>
        <v>3</v>
      </c>
      <c r="L5" s="11">
        <f>SUMIF(A:A,B5,S:S)</f>
        <v>2</v>
      </c>
      <c r="M5" s="11">
        <f>SUMIF(A:A,B5,M:M)</f>
        <v>40</v>
      </c>
      <c r="N5" s="11">
        <f>SUMIF(A:A,B5,N:N)</f>
        <v>5</v>
      </c>
      <c r="O5" s="11">
        <f>SUMIF(A:A,B5,O:O)</f>
        <v>1</v>
      </c>
      <c r="P5" s="11">
        <f>SUMIF(A:A,B5,J:J)</f>
        <v>4</v>
      </c>
      <c r="Q5" s="11">
        <f>SUMIF(A:A,B5,K:K)</f>
        <v>1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1842.25</v>
      </c>
      <c r="F7" s="41">
        <f>IFERROR((G5+R5)/F5,0)</f>
        <v>0.7368421053</v>
      </c>
      <c r="G7" s="41">
        <f>IFERROR(H5/G5,0)</f>
        <v>0.3333333333</v>
      </c>
      <c r="H7" s="40">
        <f>(C5/C7)</f>
        <v>307.0416667</v>
      </c>
      <c r="I7" s="42"/>
      <c r="J7" s="41">
        <f>IFERROR(J5/I5,0)</f>
        <v>0.3333333333</v>
      </c>
      <c r="K7" s="42"/>
      <c r="L7" s="41">
        <f>IFERROR(L5/K5,0)</f>
        <v>0.6666666667</v>
      </c>
      <c r="M7" s="43">
        <f>IFERROR(M5/SUM(R5+G5,0),"")</f>
        <v>2.857142857</v>
      </c>
      <c r="N7" s="42"/>
      <c r="O7" s="41">
        <f>IFERROR(O5/N5,0)</f>
        <v>0.2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1305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3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11</v>
      </c>
      <c r="N8" s="50">
        <f>SUMIF(B37:B1137,B8,N37:N1137)</f>
        <v>3</v>
      </c>
      <c r="O8" s="50">
        <f>SUMIF(B37:B1137,B8,O37:O1137)</f>
        <v>1</v>
      </c>
      <c r="P8" s="50">
        <f>SUMIF(B37:B1137,B8,J37:J1137)</f>
        <v>3</v>
      </c>
      <c r="Q8" s="50">
        <f>SUMIF(B37:B1137,B8,K37:K1137)</f>
        <v>1</v>
      </c>
      <c r="R8" s="51">
        <f>SUMIF(B37:B1137,B8,L37:L1137)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1305</v>
      </c>
      <c r="F10" s="24">
        <f>IFERROR((G8+R8)/F8,0)</f>
        <v>4</v>
      </c>
      <c r="G10" s="24">
        <f>IFERROR(H8/G8,0)</f>
        <v>0.3333333333</v>
      </c>
      <c r="H10" s="23">
        <f>(C8/C10)</f>
        <v>261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2.75</v>
      </c>
      <c r="N10" s="25"/>
      <c r="O10" s="24">
        <f>IFERROR(O8/N8,0)</f>
        <v>0.3333333333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2083</v>
      </c>
      <c r="D11" s="60"/>
      <c r="E11" s="48">
        <f>SUMIFS(T:T,B:B,B11,D:D,"Y")</f>
        <v>2083</v>
      </c>
      <c r="F11" s="49">
        <f>SUMIF(B39:B1137,B11,G39:G1137)</f>
        <v>4</v>
      </c>
      <c r="G11" s="50">
        <f>SUMIF(B39:B1137,B11,H39:H1137)</f>
        <v>3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1</v>
      </c>
      <c r="L11" s="50">
        <f>SUMIF(B39:B1137,B11,S39:S1137)</f>
        <v>1</v>
      </c>
      <c r="M11" s="50">
        <f>SUMIF(B39:B1137,B11,M39:M1137)</f>
        <v>18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2083</v>
      </c>
      <c r="F13" s="24">
        <f>IFERROR((G11+R11)/F11,0)</f>
        <v>1</v>
      </c>
      <c r="G13" s="24">
        <f>IFERROR(H11/G11,0)</f>
        <v>0.3333333333</v>
      </c>
      <c r="H13" s="23">
        <f>(C11/C13)</f>
        <v>297.5714286</v>
      </c>
      <c r="I13" s="25"/>
      <c r="J13" s="24">
        <f>IFERROR(J11/I11,0)</f>
        <v>0</v>
      </c>
      <c r="K13" s="25"/>
      <c r="L13" s="24">
        <f>IFERROR(L11/K11,0)</f>
        <v>1</v>
      </c>
      <c r="M13" s="26">
        <f>IFERROR(M11/SUM(R11+G11,0),"")</f>
        <v>4.5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2878</v>
      </c>
      <c r="D14" s="60"/>
      <c r="E14" s="48">
        <f>SUMIFS(T:T,B:B,B14,D:D,"Y")</f>
        <v>2878</v>
      </c>
      <c r="F14" s="49">
        <f>SUMIF(B39:B1137,B14,G39:G1137)</f>
        <v>7</v>
      </c>
      <c r="G14" s="50">
        <f>SUMIF(B39:B1137,B14,H39:H1137)</f>
        <v>3</v>
      </c>
      <c r="H14" s="50">
        <f>SUMIF(B39:B1137,B14,I39:I1137)</f>
        <v>1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2</v>
      </c>
      <c r="L14" s="50">
        <f>SUMIF(B39:B1137,B14,S39:S1137)</f>
        <v>1</v>
      </c>
      <c r="M14" s="50">
        <f>SUMIF(B39:B1137,B14,M39:M1137)</f>
        <v>7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2878</v>
      </c>
      <c r="F16" s="24">
        <f>IFERROR((G14+R14)/F14,0)</f>
        <v>0.4285714286</v>
      </c>
      <c r="G16" s="24">
        <f>IFERROR(H14/G14,0)</f>
        <v>0.3333333333</v>
      </c>
      <c r="H16" s="23">
        <f>(C14/C16)</f>
        <v>411.1428571</v>
      </c>
      <c r="I16" s="25"/>
      <c r="J16" s="24">
        <f>IFERROR(J14/I14,0)</f>
        <v>0</v>
      </c>
      <c r="K16" s="25"/>
      <c r="L16" s="24">
        <f>IFERROR(L14/K14,0)</f>
        <v>0.5</v>
      </c>
      <c r="M16" s="26">
        <f>IFERROR(M14/SUM(R14+G14,0),"")</f>
        <v>2.333333333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1103</v>
      </c>
      <c r="D17" s="60"/>
      <c r="E17" s="48">
        <f>SUMIFS(T:T,B:B,B17,D:D,"Y")</f>
        <v>1103</v>
      </c>
      <c r="F17" s="49">
        <f>SUMIF(B44:B1137,B17,G44:G1137)</f>
        <v>7</v>
      </c>
      <c r="G17" s="50">
        <f>SUMIF(B44:B1137,B17,H44:H1137)</f>
        <v>3</v>
      </c>
      <c r="H17" s="50">
        <f>SUMIF(B44:B1137,B17,I44:I1137)</f>
        <v>1</v>
      </c>
      <c r="I17" s="50">
        <f>SUMIF(B44:B1137,B17,P44:P1137)</f>
        <v>3</v>
      </c>
      <c r="J17" s="50">
        <f>SUMIF(B44:B1137,B17,Q44:Q1137)</f>
        <v>1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4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1103</v>
      </c>
      <c r="F19" s="24">
        <f>IFERROR((G17+R17)/F17,0)</f>
        <v>0.4285714286</v>
      </c>
      <c r="G19" s="24">
        <f>IFERROR(H17/G17,0)</f>
        <v>0.3333333333</v>
      </c>
      <c r="H19" s="23">
        <f>(C17/C19)</f>
        <v>275.75</v>
      </c>
      <c r="I19" s="25"/>
      <c r="J19" s="24">
        <f>IFERROR(J17/I17,0)</f>
        <v>0.3333333333</v>
      </c>
      <c r="K19" s="25"/>
      <c r="L19" s="24">
        <f>IFERROR(L17/K17,0)</f>
        <v>0</v>
      </c>
      <c r="M19" s="26">
        <f>IFERROR(M17/SUM(R17+G17,0),"")</f>
        <v>1.333333333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2.0</v>
      </c>
      <c r="I41" s="185">
        <v>0.0</v>
      </c>
      <c r="J41" s="185">
        <v>2.0</v>
      </c>
      <c r="K41" s="185">
        <v>0.0</v>
      </c>
      <c r="L41" s="185">
        <v>1.0</v>
      </c>
      <c r="M41" s="185">
        <v>7.0</v>
      </c>
      <c r="N41" s="185">
        <v>2.0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1.0</v>
      </c>
      <c r="H42" s="185">
        <v>1.0</v>
      </c>
      <c r="I42" s="185">
        <v>1.0</v>
      </c>
      <c r="J42" s="185">
        <v>1.0</v>
      </c>
      <c r="K42" s="185">
        <v>1.0</v>
      </c>
      <c r="L42" s="185">
        <v>0.0</v>
      </c>
      <c r="M42" s="185">
        <v>4.0</v>
      </c>
      <c r="N42" s="185">
        <v>1.0</v>
      </c>
      <c r="O42" s="185">
        <v>1.0</v>
      </c>
      <c r="P42" s="185">
        <v>0.0</v>
      </c>
      <c r="Q42" s="185">
        <v>0.0</v>
      </c>
      <c r="R42" s="185">
        <v>0.0</v>
      </c>
      <c r="S42" s="185">
        <v>0.0</v>
      </c>
      <c r="T42" s="185">
        <v>1305.0</v>
      </c>
      <c r="U42" s="104">
        <f t="shared" si="2"/>
        <v>1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4.0</v>
      </c>
      <c r="H46" s="185">
        <v>3.0</v>
      </c>
      <c r="I46" s="185">
        <v>1.0</v>
      </c>
      <c r="J46" s="185">
        <v>1.0</v>
      </c>
      <c r="K46" s="185">
        <v>0.0</v>
      </c>
      <c r="L46" s="185">
        <v>1.0</v>
      </c>
      <c r="M46" s="185">
        <v>18.0</v>
      </c>
      <c r="N46" s="185">
        <v>1.0</v>
      </c>
      <c r="O46" s="185">
        <v>0.0</v>
      </c>
      <c r="P46" s="185">
        <v>0.0</v>
      </c>
      <c r="Q46" s="185">
        <v>0.0</v>
      </c>
      <c r="R46" s="185">
        <v>1.0</v>
      </c>
      <c r="S46" s="185">
        <v>1.0</v>
      </c>
      <c r="T46" s="185">
        <v>2083.0</v>
      </c>
      <c r="U46" s="104">
        <f t="shared" si="2"/>
        <v>0.3333333333</v>
      </c>
      <c r="V46" s="104">
        <f t="shared" si="3"/>
        <v>1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0.0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0.0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2.0</v>
      </c>
      <c r="H50" s="185">
        <v>2.0</v>
      </c>
      <c r="I50" s="185">
        <v>1.0</v>
      </c>
      <c r="J50" s="185">
        <v>0.0</v>
      </c>
      <c r="K50" s="185">
        <v>0.0</v>
      </c>
      <c r="L50" s="185">
        <v>0.0</v>
      </c>
      <c r="M50" s="185">
        <v>1.0</v>
      </c>
      <c r="N50" s="185">
        <v>0.0</v>
      </c>
      <c r="O50" s="185">
        <v>0.0</v>
      </c>
      <c r="P50" s="185">
        <v>0.0</v>
      </c>
      <c r="Q50" s="185">
        <v>0.0</v>
      </c>
      <c r="R50" s="185">
        <v>2.0</v>
      </c>
      <c r="S50" s="185">
        <v>1.0</v>
      </c>
      <c r="T50" s="185">
        <v>2878.0</v>
      </c>
      <c r="U50" s="104">
        <f t="shared" si="2"/>
        <v>0.5</v>
      </c>
      <c r="V50" s="104">
        <f t="shared" si="3"/>
        <v>1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5.0</v>
      </c>
      <c r="H53" s="185">
        <v>1.0</v>
      </c>
      <c r="I53" s="185">
        <v>0.0</v>
      </c>
      <c r="J53" s="185">
        <v>0.0</v>
      </c>
      <c r="K53" s="185">
        <v>0.0</v>
      </c>
      <c r="L53" s="185">
        <v>0.0</v>
      </c>
      <c r="M53" s="185">
        <v>6.0</v>
      </c>
      <c r="N53" s="185">
        <v>1.0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0.2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7.0</v>
      </c>
      <c r="H57" s="185">
        <v>3.0</v>
      </c>
      <c r="I57" s="185">
        <v>1.0</v>
      </c>
      <c r="J57" s="185">
        <v>0.0</v>
      </c>
      <c r="K57" s="185">
        <v>0.0</v>
      </c>
      <c r="L57" s="185">
        <v>0.0</v>
      </c>
      <c r="M57" s="185">
        <v>4.0</v>
      </c>
      <c r="N57" s="185">
        <v>0.0</v>
      </c>
      <c r="O57" s="185">
        <v>0.0</v>
      </c>
      <c r="P57" s="185">
        <v>3.0</v>
      </c>
      <c r="Q57" s="185">
        <v>1.0</v>
      </c>
      <c r="R57" s="185">
        <v>0.0</v>
      </c>
      <c r="S57" s="185">
        <v>0.0</v>
      </c>
      <c r="T57" s="185">
        <v>1103.0</v>
      </c>
      <c r="U57" s="104">
        <f t="shared" si="2"/>
        <v>0.3333333333</v>
      </c>
      <c r="V57" s="104">
        <f t="shared" si="3"/>
        <v>0.4285714286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85">
        <v>0.0</v>
      </c>
      <c r="H81" s="185">
        <v>0.0</v>
      </c>
      <c r="I81" s="185">
        <v>0.0</v>
      </c>
      <c r="J81" s="185">
        <v>0.0</v>
      </c>
      <c r="K81" s="185">
        <v>0.0</v>
      </c>
      <c r="L81" s="185">
        <v>0.0</v>
      </c>
      <c r="M81" s="185">
        <v>0.0</v>
      </c>
      <c r="N81" s="185">
        <v>0.0</v>
      </c>
      <c r="O81" s="185">
        <v>0.0</v>
      </c>
      <c r="P81" s="185">
        <v>0.0</v>
      </c>
      <c r="Q81" s="185">
        <v>0.0</v>
      </c>
      <c r="R81" s="185">
        <v>0.0</v>
      </c>
      <c r="S81" s="185">
        <v>0.0</v>
      </c>
      <c r="T81" s="185">
        <v>0.0</v>
      </c>
      <c r="U81" s="104">
        <f t="shared" si="8"/>
        <v>0</v>
      </c>
      <c r="V81" s="104">
        <f t="shared" si="9"/>
        <v>0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85">
        <v>0.0</v>
      </c>
      <c r="H83" s="185">
        <v>0.0</v>
      </c>
      <c r="I83" s="185">
        <v>0.0</v>
      </c>
      <c r="J83" s="185">
        <v>0.0</v>
      </c>
      <c r="K83" s="185">
        <v>0.0</v>
      </c>
      <c r="L83" s="185">
        <v>0.0</v>
      </c>
      <c r="M83" s="185">
        <v>0.0</v>
      </c>
      <c r="N83" s="185">
        <v>0.0</v>
      </c>
      <c r="O83" s="185">
        <v>0.0</v>
      </c>
      <c r="P83" s="185">
        <v>0.0</v>
      </c>
      <c r="Q83" s="185">
        <v>0.0</v>
      </c>
      <c r="R83" s="185">
        <v>0.0</v>
      </c>
      <c r="S83" s="185">
        <v>0.0</v>
      </c>
      <c r="T83" s="185">
        <v>0.0</v>
      </c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6312</v>
      </c>
      <c r="D2" s="10"/>
      <c r="E2" s="11">
        <f t="shared" ref="E2:R2" si="1">SUM(E5,E20,E23,E26,E29,E32)</f>
        <v>0</v>
      </c>
      <c r="F2" s="11">
        <f t="shared" si="1"/>
        <v>14</v>
      </c>
      <c r="G2" s="11">
        <f t="shared" si="1"/>
        <v>12</v>
      </c>
      <c r="H2" s="11">
        <f t="shared" si="1"/>
        <v>4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1</v>
      </c>
      <c r="M2" s="11">
        <f t="shared" si="1"/>
        <v>43</v>
      </c>
      <c r="N2" s="11">
        <f t="shared" si="1"/>
        <v>10</v>
      </c>
      <c r="O2" s="11">
        <f t="shared" si="1"/>
        <v>3</v>
      </c>
      <c r="P2" s="11">
        <f t="shared" si="1"/>
        <v>5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1578</v>
      </c>
      <c r="F4" s="24">
        <f>IFERROR((G2+R2)/F2,0)</f>
        <v>0.9285714286</v>
      </c>
      <c r="G4" s="24">
        <f>IFERROR(H2/G2,0)</f>
        <v>0.3333333333</v>
      </c>
      <c r="H4" s="23">
        <f>(C2/C4)</f>
        <v>100.1904762</v>
      </c>
      <c r="I4" s="25"/>
      <c r="J4" s="24">
        <f>IFERROR(J2/I2,0)</f>
        <v>0</v>
      </c>
      <c r="K4" s="25"/>
      <c r="L4" s="24">
        <f>IFERROR(L2/K2,0)</f>
        <v>1</v>
      </c>
      <c r="M4" s="26">
        <f>IFERROR(M2/G2,0)</f>
        <v>3.583333333</v>
      </c>
      <c r="N4" s="25"/>
      <c r="O4" s="24">
        <f>IFERROR(O2/N2,0)</f>
        <v>0.3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1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0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SUMIF(B44:B1137,B17,G44:G1137)</f>
        <v>0</v>
      </c>
      <c r="G17" s="50">
        <f>SUMIF(B44:B1137,B17,H44:H1137)</f>
        <v>0</v>
      </c>
      <c r="H17" s="50">
        <f>SUMIF(B44:B1137,B17,I44:I1137)</f>
        <v>0</v>
      </c>
      <c r="I17" s="50">
        <f>SUMIF(B44:B1137,B17,P44:P1137)</f>
        <v>0</v>
      </c>
      <c r="J17" s="50">
        <f>SUMIF(B44:B1137,B17,Q44:Q1137)</f>
        <v>0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0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6312</v>
      </c>
      <c r="D29" s="68"/>
      <c r="E29" s="69">
        <f>SUMIFS(T:T,A:A,B29,D:D,"Y")</f>
        <v>0</v>
      </c>
      <c r="F29" s="70">
        <f>SUMIF(A:A,B29,G:G)</f>
        <v>12</v>
      </c>
      <c r="G29" s="71">
        <f>SUMIF(A:A,B29,H:H)</f>
        <v>12</v>
      </c>
      <c r="H29" s="71">
        <f>SUMIF(A:A,B29,I:I)</f>
        <v>4</v>
      </c>
      <c r="I29" s="71">
        <f>SUMIF(A:A,B29,P:P)</f>
        <v>0</v>
      </c>
      <c r="J29" s="71">
        <f>SUMIF(A:A,B29,Q:Q)</f>
        <v>0</v>
      </c>
      <c r="K29" s="71">
        <f>SUMIF(A:A,B29,R:R)</f>
        <v>1</v>
      </c>
      <c r="L29" s="71">
        <f>SUMIF(A:A,B29,S:S)</f>
        <v>1</v>
      </c>
      <c r="M29" s="71">
        <f>SUMIF(A:A,B29,M:M)</f>
        <v>43</v>
      </c>
      <c r="N29" s="71">
        <f>SUMIF(A:A,B29,N:N)</f>
        <v>10</v>
      </c>
      <c r="O29" s="71">
        <f>SUMIF(A:A,B29,O:O)</f>
        <v>3</v>
      </c>
      <c r="P29" s="71">
        <f>SUMIF(A:A,B29,J:J)</f>
        <v>5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1578</v>
      </c>
      <c r="F31" s="82">
        <f>IFERROR((G29+R29)/F29,0)</f>
        <v>1</v>
      </c>
      <c r="G31" s="82">
        <f>IFERROR(H29/G29,0)</f>
        <v>0.3333333333</v>
      </c>
      <c r="H31" s="81">
        <f>(C29/C31)</f>
        <v>371.2941176</v>
      </c>
      <c r="I31" s="83"/>
      <c r="J31" s="82">
        <f>IFERROR(J29/I29,0)</f>
        <v>0</v>
      </c>
      <c r="K31" s="83"/>
      <c r="L31" s="82">
        <f>IFERROR(L29/K29,0)</f>
        <v>1</v>
      </c>
      <c r="M31" s="84">
        <f>IFERROR(M29/SUM(R29+G29,0),"")</f>
        <v>3.583333333</v>
      </c>
      <c r="N31" s="83"/>
      <c r="O31" s="82">
        <f>IFERROR(O29/N29,0)</f>
        <v>0.3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0.0</v>
      </c>
      <c r="I39" s="185">
        <v>0.0</v>
      </c>
      <c r="J39" s="185">
        <v>0.0</v>
      </c>
      <c r="K39" s="185">
        <v>0.0</v>
      </c>
      <c r="L39" s="185">
        <v>1.0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0.0</v>
      </c>
      <c r="H46" s="185">
        <v>0.0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0.0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0.0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0.0</v>
      </c>
      <c r="H50" s="185">
        <v>0.0</v>
      </c>
      <c r="I50" s="185">
        <v>0.0</v>
      </c>
      <c r="J50" s="185">
        <v>0.0</v>
      </c>
      <c r="K50" s="185">
        <v>0.0</v>
      </c>
      <c r="L50" s="185">
        <v>0.0</v>
      </c>
      <c r="M50" s="185">
        <v>0.0</v>
      </c>
      <c r="N50" s="185">
        <v>0.0</v>
      </c>
      <c r="O50" s="185">
        <v>0.0</v>
      </c>
      <c r="P50" s="185">
        <v>0.0</v>
      </c>
      <c r="Q50" s="185">
        <v>0.0</v>
      </c>
      <c r="R50" s="185">
        <v>0.0</v>
      </c>
      <c r="S50" s="185">
        <v>0.0</v>
      </c>
      <c r="T50" s="185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85">
        <v>1.0</v>
      </c>
      <c r="H81" s="185">
        <v>0.0</v>
      </c>
      <c r="I81" s="185">
        <v>0.0</v>
      </c>
      <c r="J81" s="185">
        <v>0.0</v>
      </c>
      <c r="K81" s="185">
        <v>0.0</v>
      </c>
      <c r="L81" s="185">
        <v>0.0</v>
      </c>
      <c r="M81" s="185">
        <v>0.0</v>
      </c>
      <c r="N81" s="185">
        <v>0.0</v>
      </c>
      <c r="O81" s="185">
        <v>0.0</v>
      </c>
      <c r="P81" s="185">
        <v>0.0</v>
      </c>
      <c r="Q81" s="185">
        <v>0.0</v>
      </c>
      <c r="R81" s="185">
        <v>0.0</v>
      </c>
      <c r="S81" s="185">
        <v>0.0</v>
      </c>
      <c r="T81" s="185">
        <v>0.0</v>
      </c>
      <c r="U81" s="104">
        <f t="shared" si="8"/>
        <v>0</v>
      </c>
      <c r="V81" s="104">
        <f t="shared" si="9"/>
        <v>0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85">
        <v>0.0</v>
      </c>
      <c r="H83" s="185">
        <v>0.0</v>
      </c>
      <c r="I83" s="185">
        <v>0.0</v>
      </c>
      <c r="J83" s="185">
        <v>0.0</v>
      </c>
      <c r="K83" s="185">
        <v>0.0</v>
      </c>
      <c r="L83" s="185">
        <v>0.0</v>
      </c>
      <c r="M83" s="185">
        <v>0.0</v>
      </c>
      <c r="N83" s="185">
        <v>0.0</v>
      </c>
      <c r="O83" s="185">
        <v>0.0</v>
      </c>
      <c r="P83" s="185">
        <v>0.0</v>
      </c>
      <c r="Q83" s="185">
        <v>0.0</v>
      </c>
      <c r="R83" s="185">
        <v>0.0</v>
      </c>
      <c r="S83" s="185">
        <v>0.0</v>
      </c>
      <c r="T83" s="185">
        <v>0.0</v>
      </c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85">
        <v>12.0</v>
      </c>
      <c r="H86" s="185">
        <v>12.0</v>
      </c>
      <c r="I86" s="185">
        <v>4.0</v>
      </c>
      <c r="J86" s="185">
        <v>5.0</v>
      </c>
      <c r="L86" s="103"/>
      <c r="M86" s="185">
        <v>43.0</v>
      </c>
      <c r="N86" s="185">
        <v>10.0</v>
      </c>
      <c r="O86" s="185">
        <v>3.0</v>
      </c>
      <c r="P86" s="103"/>
      <c r="Q86" s="103"/>
      <c r="R86" s="185">
        <v>1.0</v>
      </c>
      <c r="S86" s="185">
        <v>1.0</v>
      </c>
      <c r="T86" s="185">
        <v>6312.0</v>
      </c>
      <c r="U86" s="104">
        <f t="shared" si="10"/>
        <v>0.3333333333</v>
      </c>
      <c r="V86" s="104">
        <f t="shared" si="11"/>
        <v>1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5840.88</v>
      </c>
      <c r="D2" s="10"/>
      <c r="E2" s="11">
        <f t="shared" ref="E2:R2" si="1">SUM(E5,E20,E23,E26,E29,E32)</f>
        <v>5602.88</v>
      </c>
      <c r="F2" s="11">
        <f t="shared" si="1"/>
        <v>22</v>
      </c>
      <c r="G2" s="11">
        <f t="shared" si="1"/>
        <v>9</v>
      </c>
      <c r="H2" s="11">
        <f t="shared" si="1"/>
        <v>4</v>
      </c>
      <c r="I2" s="11">
        <f t="shared" si="1"/>
        <v>4</v>
      </c>
      <c r="J2" s="11">
        <f t="shared" si="1"/>
        <v>1</v>
      </c>
      <c r="K2" s="11">
        <f t="shared" si="1"/>
        <v>2</v>
      </c>
      <c r="L2" s="11">
        <f t="shared" si="1"/>
        <v>1</v>
      </c>
      <c r="M2" s="11">
        <f t="shared" si="1"/>
        <v>19</v>
      </c>
      <c r="N2" s="11">
        <f t="shared" si="1"/>
        <v>5</v>
      </c>
      <c r="O2" s="11">
        <f t="shared" si="1"/>
        <v>3</v>
      </c>
      <c r="P2" s="11">
        <f t="shared" si="1"/>
        <v>2</v>
      </c>
      <c r="Q2" s="11">
        <f t="shared" si="1"/>
        <v>1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1460.22</v>
      </c>
      <c r="F4" s="24">
        <f>IFERROR((G2+R2)/F2,0)</f>
        <v>0.5454545455</v>
      </c>
      <c r="G4" s="24">
        <f>IFERROR(H2/G2,0)</f>
        <v>0.4444444444</v>
      </c>
      <c r="H4" s="23">
        <f>(C2/C4)</f>
        <v>92.71238095</v>
      </c>
      <c r="I4" s="25"/>
      <c r="J4" s="24">
        <f>IFERROR(J2/I2,0)</f>
        <v>0.25</v>
      </c>
      <c r="K4" s="25"/>
      <c r="L4" s="24">
        <f>IFERROR(L2/K2,0)</f>
        <v>0.5</v>
      </c>
      <c r="M4" s="26">
        <f>IFERROR(M2/G2,0)</f>
        <v>2.111111111</v>
      </c>
      <c r="N4" s="25"/>
      <c r="O4" s="24">
        <f>IFERROR(O2/N2,0)</f>
        <v>0.6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3015</v>
      </c>
      <c r="D5" s="31"/>
      <c r="E5" s="32">
        <f>SUMIFS(T:T,A:A,B5,D:D,"Y")</f>
        <v>2777</v>
      </c>
      <c r="F5" s="11">
        <f>SUMIF(A:A,B5,G:G)</f>
        <v>21</v>
      </c>
      <c r="G5" s="11">
        <f>SUMIF(A:A,B5,H:H)</f>
        <v>8</v>
      </c>
      <c r="H5" s="11">
        <f>SUMIF(A:A,B5,I:I)</f>
        <v>3</v>
      </c>
      <c r="I5" s="11">
        <f>SUMIF(A:A,B5,P:P)</f>
        <v>4</v>
      </c>
      <c r="J5" s="11">
        <f>SUMIF(A:A,B5,Q:Q)</f>
        <v>1</v>
      </c>
      <c r="K5" s="11">
        <f>SUMIF(A:A,B5,R:R)</f>
        <v>1</v>
      </c>
      <c r="L5" s="11">
        <f>SUMIF(A:A,B5,S:S)</f>
        <v>0</v>
      </c>
      <c r="M5" s="11">
        <f>SUMIF(A:A,B5,M:M)</f>
        <v>11</v>
      </c>
      <c r="N5" s="11">
        <f>SUMIF(A:A,B5,N:N)</f>
        <v>4</v>
      </c>
      <c r="O5" s="11">
        <f>SUMIF(A:A,B5,O:O)</f>
        <v>2</v>
      </c>
      <c r="P5" s="11">
        <f>SUMIF(A:A,B5,J:J)</f>
        <v>2</v>
      </c>
      <c r="Q5" s="11">
        <f>SUMIF(A:A,B5,K:K)</f>
        <v>1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1005</v>
      </c>
      <c r="F7" s="41">
        <f>IFERROR((G5+R5)/F5,0)</f>
        <v>0.5238095238</v>
      </c>
      <c r="G7" s="41">
        <f>IFERROR(H5/G5,0)</f>
        <v>0.375</v>
      </c>
      <c r="H7" s="40">
        <f>(C5/C7)</f>
        <v>125.625</v>
      </c>
      <c r="I7" s="42"/>
      <c r="J7" s="41">
        <f>IFERROR(J5/I5,0)</f>
        <v>0.25</v>
      </c>
      <c r="K7" s="42"/>
      <c r="L7" s="41">
        <f>IFERROR(L5/K5,0)</f>
        <v>0</v>
      </c>
      <c r="M7" s="43">
        <f>IFERROR(M5/SUM(R5+G5,0),"")</f>
        <v>1</v>
      </c>
      <c r="N7" s="42"/>
      <c r="O7" s="41">
        <f>IFERROR(O5/N5,0)</f>
        <v>0.5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238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2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2</v>
      </c>
      <c r="N8" s="50">
        <f>SUMIF(B37:B1137,B8,N37:N1137)</f>
        <v>2</v>
      </c>
      <c r="O8" s="50">
        <f>SUMIF(B37:B1137,B8,O37:O1137)</f>
        <v>1</v>
      </c>
      <c r="P8" s="50">
        <f>SUMIF(B37:B1137,B8,J37:J1137)</f>
        <v>2</v>
      </c>
      <c r="Q8" s="50">
        <f>SUMIF(B37:B1137,B8,K37:K1137)</f>
        <v>1</v>
      </c>
      <c r="R8" s="51">
        <f>SUMIF(B37:B1137,B8,L37:L1137)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238</v>
      </c>
      <c r="F10" s="24">
        <f>IFERROR((G8+R8)/F8,0)</f>
        <v>3</v>
      </c>
      <c r="G10" s="24">
        <f>IFERROR(H8/G8,0)</f>
        <v>0.5</v>
      </c>
      <c r="H10" s="23">
        <f>(C8/C10)</f>
        <v>47.6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0.6666666667</v>
      </c>
      <c r="N10" s="25"/>
      <c r="O10" s="24">
        <f>IFERROR(O8/N8,0)</f>
        <v>0.5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9</v>
      </c>
      <c r="G11" s="50">
        <f>SUMIF(B39:B1137,B11,H39:H1137)</f>
        <v>2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1</v>
      </c>
      <c r="L11" s="50">
        <f>SUMIF(B39:B1137,B11,S39:S1137)</f>
        <v>0</v>
      </c>
      <c r="M11" s="50">
        <f>SUMIF(B39:B1137,B11,M39:M1137)</f>
        <v>7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0.3333333333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2.333333333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2777</v>
      </c>
      <c r="D17" s="60"/>
      <c r="E17" s="48">
        <f>SUMIFS(T:T,B:B,B17,D:D,"Y")</f>
        <v>2777</v>
      </c>
      <c r="F17" s="49">
        <f>SUMIF(B44:B1137,B17,G44:G1137)</f>
        <v>11</v>
      </c>
      <c r="G17" s="50">
        <f>SUMIF(B44:B1137,B17,H44:H1137)</f>
        <v>4</v>
      </c>
      <c r="H17" s="50">
        <f>SUMIF(B44:B1137,B17,I44:I1137)</f>
        <v>2</v>
      </c>
      <c r="I17" s="50">
        <f>SUMIF(B44:B1137,B17,P44:P1137)</f>
        <v>4</v>
      </c>
      <c r="J17" s="50">
        <f>SUMIF(B44:B1137,B17,Q44:Q1137)</f>
        <v>1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2</v>
      </c>
      <c r="N17" s="50">
        <f>SUMIF(B44:B1137,B17,N44:N1137)</f>
        <v>1</v>
      </c>
      <c r="O17" s="50">
        <f>SUMIF(B44:B1137,B17,O44:O1137)</f>
        <v>1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1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1388.5</v>
      </c>
      <c r="F19" s="24">
        <f>IFERROR((G17+R17)/F17,0)</f>
        <v>0.4545454545</v>
      </c>
      <c r="G19" s="24">
        <f>IFERROR(H17/G17,0)</f>
        <v>0.5</v>
      </c>
      <c r="H19" s="23">
        <f>(C17/C19)</f>
        <v>694.25</v>
      </c>
      <c r="I19" s="25"/>
      <c r="J19" s="24">
        <f>IFERROR(J17/I17,0)</f>
        <v>0.25</v>
      </c>
      <c r="K19" s="25"/>
      <c r="L19" s="24">
        <f>IFERROR(L17/K17,0)</f>
        <v>0</v>
      </c>
      <c r="M19" s="26">
        <f>IFERROR(M17/SUM(R17+G17,0),"")</f>
        <v>0.4</v>
      </c>
      <c r="N19" s="25"/>
      <c r="O19" s="24">
        <f>IFERROR(O17/N17,0)</f>
        <v>1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2825.88</v>
      </c>
      <c r="D26" s="31"/>
      <c r="E26" s="64">
        <f>SUMIFS(T:T,A:A,B26,D:D,"Y")</f>
        <v>2825.88</v>
      </c>
      <c r="F26" s="9">
        <f>SUMIF(A:A,B26,G:G)</f>
        <v>1</v>
      </c>
      <c r="G26" s="11">
        <f>SUMIF(A:A,B26,H:H)</f>
        <v>1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1</v>
      </c>
      <c r="M26" s="11">
        <f>SUMIF(A:A,B26,M:M)</f>
        <v>8</v>
      </c>
      <c r="N26" s="11">
        <f>SUMIF(A:A,B26,N:N)</f>
        <v>1</v>
      </c>
      <c r="O26" s="11">
        <f>SUMIF(A:A,B26,O:O)</f>
        <v>1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2825.88</v>
      </c>
      <c r="F28" s="24">
        <f>IFERROR((G26+R26)/F26,0)</f>
        <v>1</v>
      </c>
      <c r="G28" s="24">
        <f>IFERROR(H26/G26,0)</f>
        <v>1</v>
      </c>
      <c r="H28" s="23">
        <f>(C26/C28)</f>
        <v>565.176</v>
      </c>
      <c r="I28" s="25"/>
      <c r="J28" s="24">
        <f>IFERROR(J26/I26,0)</f>
        <v>0</v>
      </c>
      <c r="K28" s="25"/>
      <c r="L28" s="24">
        <f>IFERROR(L26/K26,0)</f>
        <v>1</v>
      </c>
      <c r="M28" s="26">
        <f>IFERROR(M26/SUM(R26+G26,0),"")</f>
        <v>8</v>
      </c>
      <c r="N28" s="25"/>
      <c r="O28" s="24">
        <f>IFERROR(O26/N26,0)</f>
        <v>1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1.0</v>
      </c>
      <c r="J40" s="185">
        <v>1.0</v>
      </c>
      <c r="K40" s="185">
        <v>1.0</v>
      </c>
      <c r="L40" s="185">
        <v>0.0</v>
      </c>
      <c r="M40" s="185">
        <v>2.0</v>
      </c>
      <c r="N40" s="185">
        <v>1.0</v>
      </c>
      <c r="O40" s="185">
        <v>1.0</v>
      </c>
      <c r="P40" s="185">
        <v>0.0</v>
      </c>
      <c r="Q40" s="185">
        <v>0.0</v>
      </c>
      <c r="R40" s="185">
        <v>0.0</v>
      </c>
      <c r="S40" s="185">
        <v>0.0</v>
      </c>
      <c r="T40" s="185">
        <v>238.0</v>
      </c>
      <c r="U40" s="104">
        <f t="shared" si="2"/>
        <v>1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1.0</v>
      </c>
      <c r="M41" s="185">
        <v>0.0</v>
      </c>
      <c r="N41" s="185">
        <v>1.0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4.0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2.0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2.0</v>
      </c>
      <c r="H46" s="185">
        <v>2.0</v>
      </c>
      <c r="I46" s="185">
        <v>0.0</v>
      </c>
      <c r="J46" s="185">
        <v>0.0</v>
      </c>
      <c r="K46" s="185">
        <v>0.0</v>
      </c>
      <c r="L46" s="185">
        <v>1.0</v>
      </c>
      <c r="M46" s="185">
        <v>7.0</v>
      </c>
      <c r="N46" s="185">
        <v>1.0</v>
      </c>
      <c r="O46" s="185">
        <v>0.0</v>
      </c>
      <c r="P46" s="185">
        <v>0.0</v>
      </c>
      <c r="Q46" s="185">
        <v>0.0</v>
      </c>
      <c r="R46" s="185">
        <v>1.0</v>
      </c>
      <c r="S46" s="185">
        <v>0.0</v>
      </c>
      <c r="T46" s="185">
        <v>0.0</v>
      </c>
      <c r="U46" s="104">
        <f t="shared" si="2"/>
        <v>0</v>
      </c>
      <c r="V46" s="104">
        <f t="shared" si="3"/>
        <v>1.5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0.0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1.0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11.0</v>
      </c>
      <c r="H57" s="185">
        <v>4.0</v>
      </c>
      <c r="I57" s="185">
        <v>2.0</v>
      </c>
      <c r="J57" s="185">
        <v>0.0</v>
      </c>
      <c r="K57" s="185">
        <v>0.0</v>
      </c>
      <c r="L57" s="185">
        <v>1.0</v>
      </c>
      <c r="M57" s="185">
        <v>2.0</v>
      </c>
      <c r="N57" s="185">
        <v>1.0</v>
      </c>
      <c r="O57" s="185">
        <v>1.0</v>
      </c>
      <c r="P57" s="185">
        <v>4.0</v>
      </c>
      <c r="Q57" s="185">
        <v>1.0</v>
      </c>
      <c r="R57" s="185">
        <v>0.0</v>
      </c>
      <c r="S57" s="185">
        <v>0.0</v>
      </c>
      <c r="T57" s="185">
        <v>2777.0</v>
      </c>
      <c r="U57" s="104">
        <f t="shared" si="2"/>
        <v>0.5</v>
      </c>
      <c r="V57" s="104">
        <f t="shared" si="3"/>
        <v>0.4545454545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85">
        <v>1.0</v>
      </c>
      <c r="H81" s="185">
        <v>1.0</v>
      </c>
      <c r="I81" s="185">
        <v>1.0</v>
      </c>
      <c r="J81" s="185">
        <v>0.0</v>
      </c>
      <c r="K81" s="185">
        <v>0.0</v>
      </c>
      <c r="L81" s="185">
        <v>0.0</v>
      </c>
      <c r="M81" s="185">
        <v>8.0</v>
      </c>
      <c r="N81" s="185">
        <v>1.0</v>
      </c>
      <c r="O81" s="185">
        <v>1.0</v>
      </c>
      <c r="P81" s="185">
        <v>0.0</v>
      </c>
      <c r="Q81" s="185">
        <v>0.0</v>
      </c>
      <c r="R81" s="185">
        <v>1.0</v>
      </c>
      <c r="S81" s="185">
        <v>1.0</v>
      </c>
      <c r="T81" s="185">
        <v>2825.88</v>
      </c>
      <c r="U81" s="104">
        <f t="shared" si="8"/>
        <v>1</v>
      </c>
      <c r="V81" s="104">
        <f t="shared" si="9"/>
        <v>1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85">
        <v>0.0</v>
      </c>
      <c r="H83" s="185">
        <v>0.0</v>
      </c>
      <c r="I83" s="185">
        <v>0.0</v>
      </c>
      <c r="J83" s="185">
        <v>0.0</v>
      </c>
      <c r="K83" s="185">
        <v>0.0</v>
      </c>
      <c r="L83" s="185">
        <v>0.0</v>
      </c>
      <c r="M83" s="185">
        <v>0.0</v>
      </c>
      <c r="N83" s="185">
        <v>0.0</v>
      </c>
      <c r="O83" s="185">
        <v>0.0</v>
      </c>
      <c r="P83" s="185">
        <v>0.0</v>
      </c>
      <c r="Q83" s="185">
        <v>0.0</v>
      </c>
      <c r="R83" s="185">
        <v>0.0</v>
      </c>
      <c r="S83" s="185">
        <v>0.0</v>
      </c>
      <c r="T83" s="185">
        <v>0.0</v>
      </c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9386</v>
      </c>
      <c r="D2" s="10"/>
      <c r="E2" s="11">
        <f t="shared" ref="E2:R2" si="1">SUM(E5,E20,E23,E26,E29,E32)</f>
        <v>9386</v>
      </c>
      <c r="F2" s="11">
        <f t="shared" si="1"/>
        <v>25</v>
      </c>
      <c r="G2" s="11">
        <f t="shared" si="1"/>
        <v>14</v>
      </c>
      <c r="H2" s="11">
        <f t="shared" si="1"/>
        <v>5</v>
      </c>
      <c r="I2" s="11">
        <f t="shared" si="1"/>
        <v>3</v>
      </c>
      <c r="J2" s="11">
        <f t="shared" si="1"/>
        <v>1</v>
      </c>
      <c r="K2" s="11">
        <f t="shared" si="1"/>
        <v>5</v>
      </c>
      <c r="L2" s="11">
        <f t="shared" si="1"/>
        <v>1</v>
      </c>
      <c r="M2" s="11">
        <f t="shared" si="1"/>
        <v>53</v>
      </c>
      <c r="N2" s="11">
        <f t="shared" si="1"/>
        <v>7</v>
      </c>
      <c r="O2" s="11">
        <f t="shared" si="1"/>
        <v>3</v>
      </c>
      <c r="P2" s="11">
        <f t="shared" si="1"/>
        <v>4</v>
      </c>
      <c r="Q2" s="11">
        <f t="shared" si="1"/>
        <v>1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1877.2</v>
      </c>
      <c r="F4" s="24">
        <f>IFERROR((G2+R2)/F2,0)</f>
        <v>0.64</v>
      </c>
      <c r="G4" s="24">
        <f>IFERROR(H2/G2,0)</f>
        <v>0.3571428571</v>
      </c>
      <c r="H4" s="23">
        <f>(C2/C4)</f>
        <v>148.984127</v>
      </c>
      <c r="I4" s="25"/>
      <c r="J4" s="24">
        <f>IFERROR(J2/I2,0)</f>
        <v>0.3333333333</v>
      </c>
      <c r="K4" s="25"/>
      <c r="L4" s="24">
        <f>IFERROR(L2/K2,0)</f>
        <v>0.2</v>
      </c>
      <c r="M4" s="26">
        <f>IFERROR(M2/G2,0)</f>
        <v>3.785714286</v>
      </c>
      <c r="N4" s="25"/>
      <c r="O4" s="24">
        <f>IFERROR(O2/N2,0)</f>
        <v>0.4285714286</v>
      </c>
      <c r="P4" s="26"/>
      <c r="Q4" s="24">
        <f>IFERROR(Q2/P2,0)</f>
        <v>0.25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9386</v>
      </c>
      <c r="D5" s="31"/>
      <c r="E5" s="32">
        <f>SUMIFS(T:T,A:A,B5,D:D,"Y")</f>
        <v>9386</v>
      </c>
      <c r="F5" s="11">
        <f>SUMIF(A:A,B5,G:G)</f>
        <v>23</v>
      </c>
      <c r="G5" s="11">
        <f>SUMIF(A:A,B5,H:H)</f>
        <v>14</v>
      </c>
      <c r="H5" s="11">
        <f>SUMIF(A:A,B5,I:I)</f>
        <v>5</v>
      </c>
      <c r="I5" s="11">
        <f>SUMIF(A:A,B5,P:P)</f>
        <v>3</v>
      </c>
      <c r="J5" s="11">
        <f>SUMIF(A:A,B5,Q:Q)</f>
        <v>1</v>
      </c>
      <c r="K5" s="11">
        <f>SUMIF(A:A,B5,R:R)</f>
        <v>5</v>
      </c>
      <c r="L5" s="11">
        <f>SUMIF(A:A,B5,S:S)</f>
        <v>1</v>
      </c>
      <c r="M5" s="11">
        <f>SUMIF(A:A,B5,M:M)</f>
        <v>53</v>
      </c>
      <c r="N5" s="11">
        <f>SUMIF(A:A,B5,N:N)</f>
        <v>7</v>
      </c>
      <c r="O5" s="11">
        <f>SUMIF(A:A,B5,O:O)</f>
        <v>3</v>
      </c>
      <c r="P5" s="11">
        <f>SUMIF(A:A,B5,J:J)</f>
        <v>4</v>
      </c>
      <c r="Q5" s="11">
        <f>SUMIF(A:A,B5,K:K)</f>
        <v>1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1877.2</v>
      </c>
      <c r="F7" s="41">
        <f>IFERROR((G5+R5)/F5,0)</f>
        <v>0.6956521739</v>
      </c>
      <c r="G7" s="41">
        <f>IFERROR(H5/G5,0)</f>
        <v>0.3571428571</v>
      </c>
      <c r="H7" s="40">
        <f>(C5/C7)</f>
        <v>391.0833333</v>
      </c>
      <c r="I7" s="42"/>
      <c r="J7" s="41">
        <f>IFERROR(J5/I5,0)</f>
        <v>0.3333333333</v>
      </c>
      <c r="K7" s="42"/>
      <c r="L7" s="41">
        <f>IFERROR(L5/K5,0)</f>
        <v>0.2</v>
      </c>
      <c r="M7" s="43">
        <f>IFERROR(M5/SUM(R5+G5,0),"")</f>
        <v>3.3125</v>
      </c>
      <c r="N7" s="42"/>
      <c r="O7" s="41">
        <f>IFERROR(O5/N5,0)</f>
        <v>0.4285714286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1</v>
      </c>
      <c r="G8" s="50">
        <f>SUMIF(B37:B1137,B8,H37:H1137)</f>
        <v>1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1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0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1460</v>
      </c>
      <c r="D11" s="60"/>
      <c r="E11" s="48">
        <f>SUMIFS(T:T,B:B,B11,D:D,"Y")</f>
        <v>1460</v>
      </c>
      <c r="F11" s="49">
        <f>SUMIF(B39:B1137,B11,G39:G1137)</f>
        <v>9</v>
      </c>
      <c r="G11" s="50">
        <f>SUMIF(B39:B1137,B11,H39:H1137)</f>
        <v>6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3</v>
      </c>
      <c r="L11" s="50">
        <f>SUMIF(B39:B1137,B11,S39:S1137)</f>
        <v>0</v>
      </c>
      <c r="M11" s="50">
        <f>SUMIF(B39:B1137,B11,M39:M1137)</f>
        <v>29</v>
      </c>
      <c r="N11" s="50">
        <f>SUMIF(B39:B1137,B11,N39:N1137)</f>
        <v>3</v>
      </c>
      <c r="O11" s="50">
        <f>SUMIF(B39:B1137,B11,O39:O1137)</f>
        <v>1</v>
      </c>
      <c r="P11" s="50">
        <f>SUMIF(B39:B1137,B11,J39:J1137)</f>
        <v>2</v>
      </c>
      <c r="Q11" s="50">
        <f>SUMIF(B39:B1137,B11,K39:K1137)</f>
        <v>0</v>
      </c>
      <c r="R11" s="51">
        <f>SUMIF(B39:B1137,B11,L39:L1137)</f>
        <v>1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1460</v>
      </c>
      <c r="F13" s="24">
        <f>IFERROR((G11+R11)/F11,0)</f>
        <v>0.7777777778</v>
      </c>
      <c r="G13" s="24">
        <f>IFERROR(H11/G11,0)</f>
        <v>0.1666666667</v>
      </c>
      <c r="H13" s="23">
        <f>(C11/C13)</f>
        <v>208.5714286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4.142857143</v>
      </c>
      <c r="N13" s="25"/>
      <c r="O13" s="24">
        <f>IFERROR(O11/N11,0)</f>
        <v>0.3333333333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2326</v>
      </c>
      <c r="D14" s="60"/>
      <c r="E14" s="48">
        <f>SUMIFS(T:T,B:B,B14,D:D,"Y")</f>
        <v>2326</v>
      </c>
      <c r="F14" s="49">
        <f>SUMIF(B39:B1137,B14,G39:G1137)</f>
        <v>3</v>
      </c>
      <c r="G14" s="50">
        <f>SUMIF(B39:B1137,B14,H39:H1137)</f>
        <v>2</v>
      </c>
      <c r="H14" s="50">
        <f>SUMIF(B39:B1137,B14,I39:I1137)</f>
        <v>1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2</v>
      </c>
      <c r="L14" s="50">
        <f>SUMIF(B39:B1137,B14,S39:S1137)</f>
        <v>1</v>
      </c>
      <c r="M14" s="50">
        <f>SUMIF(B39:B1137,B14,M39:M1137)</f>
        <v>14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1</v>
      </c>
      <c r="Q14" s="50">
        <f>SUMIF(B39:B1137,B14,K39:K1137)</f>
        <v>1</v>
      </c>
      <c r="R14" s="51">
        <f>SUMIF(B39:B1137,B14,L39:L1137)</f>
        <v>1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2326</v>
      </c>
      <c r="F16" s="24">
        <f>IFERROR((G14+R14)/F14,0)</f>
        <v>1</v>
      </c>
      <c r="G16" s="24">
        <f>IFERROR(H14/G14,0)</f>
        <v>0.5</v>
      </c>
      <c r="H16" s="23">
        <f>(C14/C16)</f>
        <v>332.2857143</v>
      </c>
      <c r="I16" s="25"/>
      <c r="J16" s="24">
        <f>IFERROR(J14/I14,0)</f>
        <v>0</v>
      </c>
      <c r="K16" s="25"/>
      <c r="L16" s="24">
        <f>IFERROR(L14/K14,0)</f>
        <v>0.5</v>
      </c>
      <c r="M16" s="26">
        <f>IFERROR(M14/SUM(R14+G14,0),"")</f>
        <v>4.666666667</v>
      </c>
      <c r="N16" s="25"/>
      <c r="O16" s="24">
        <f>IFERROR(O14/N14,0)</f>
        <v>0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5600</v>
      </c>
      <c r="D17" s="60"/>
      <c r="E17" s="48">
        <f>SUMIFS(T:T,B:B,B17,D:D,"Y")</f>
        <v>5600</v>
      </c>
      <c r="F17" s="49">
        <f>SUMIF(B44:B1137,B17,G44:G1137)</f>
        <v>10</v>
      </c>
      <c r="G17" s="50">
        <f>SUMIF(B44:B1137,B17,H44:H1137)</f>
        <v>5</v>
      </c>
      <c r="H17" s="50">
        <f>SUMIF(B44:B1137,B17,I44:I1137)</f>
        <v>3</v>
      </c>
      <c r="I17" s="50">
        <f>SUMIF(B44:B1137,B17,P44:P1137)</f>
        <v>3</v>
      </c>
      <c r="J17" s="50">
        <f>SUMIF(B44:B1137,B17,Q44:Q1137)</f>
        <v>1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10</v>
      </c>
      <c r="N17" s="50">
        <f>SUMIF(B44:B1137,B17,N44:N1137)</f>
        <v>2</v>
      </c>
      <c r="O17" s="50">
        <f>SUMIF(B44:B1137,B17,O44:O1137)</f>
        <v>2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1866.666667</v>
      </c>
      <c r="F19" s="24">
        <f>IFERROR((G17+R17)/F17,0)</f>
        <v>0.5</v>
      </c>
      <c r="G19" s="24">
        <f>IFERROR(H17/G17,0)</f>
        <v>0.6</v>
      </c>
      <c r="H19" s="23">
        <f>(C17/C19)</f>
        <v>1400</v>
      </c>
      <c r="I19" s="25"/>
      <c r="J19" s="24">
        <f>IFERROR(J17/I17,0)</f>
        <v>0.3333333333</v>
      </c>
      <c r="K19" s="25"/>
      <c r="L19" s="24">
        <f>IFERROR(L17/K17,0)</f>
        <v>0</v>
      </c>
      <c r="M19" s="26">
        <f>IFERROR(M17/SUM(R17+G17,0),"")</f>
        <v>2</v>
      </c>
      <c r="N19" s="25"/>
      <c r="O19" s="24">
        <f>IFERROR(O17/N17,0)</f>
        <v>1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2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0.0</v>
      </c>
      <c r="M39" s="185">
        <v>0.0</v>
      </c>
      <c r="N39" s="185">
        <v>1.0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1.0</v>
      </c>
      <c r="H44" s="185">
        <v>1.0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1.0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3"/>
        <v>1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2.0</v>
      </c>
      <c r="H45" s="185">
        <v>1.0</v>
      </c>
      <c r="I45" s="185">
        <v>0.0</v>
      </c>
      <c r="J45" s="185">
        <v>1.0</v>
      </c>
      <c r="K45" s="185">
        <v>0.0</v>
      </c>
      <c r="L45" s="185">
        <v>0.0</v>
      </c>
      <c r="M45" s="185">
        <v>13.0</v>
      </c>
      <c r="N45" s="185">
        <v>0.0</v>
      </c>
      <c r="O45" s="185">
        <v>0.0</v>
      </c>
      <c r="P45" s="185">
        <v>0.0</v>
      </c>
      <c r="Q45" s="185">
        <v>0.0</v>
      </c>
      <c r="R45" s="185">
        <v>1.0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0.5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2.0</v>
      </c>
      <c r="H46" s="185">
        <v>3.0</v>
      </c>
      <c r="I46" s="185">
        <v>1.0</v>
      </c>
      <c r="J46" s="185">
        <v>1.0</v>
      </c>
      <c r="K46" s="185">
        <v>0.0</v>
      </c>
      <c r="L46" s="185">
        <v>1.0</v>
      </c>
      <c r="M46" s="185">
        <v>6.0</v>
      </c>
      <c r="N46" s="185">
        <v>1.0</v>
      </c>
      <c r="O46" s="185">
        <v>1.0</v>
      </c>
      <c r="P46" s="185">
        <v>0.0</v>
      </c>
      <c r="Q46" s="185">
        <v>0.0</v>
      </c>
      <c r="R46" s="185">
        <v>2.0</v>
      </c>
      <c r="S46" s="185">
        <v>0.0</v>
      </c>
      <c r="T46" s="185">
        <v>1460.0</v>
      </c>
      <c r="U46" s="104">
        <f t="shared" si="2"/>
        <v>0.3333333333</v>
      </c>
      <c r="V46" s="104">
        <f t="shared" si="3"/>
        <v>2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2.0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2.0</v>
      </c>
      <c r="H49" s="185">
        <v>1.0</v>
      </c>
      <c r="I49" s="185">
        <v>0.0</v>
      </c>
      <c r="J49" s="185">
        <v>0.0</v>
      </c>
      <c r="K49" s="185">
        <v>0.0</v>
      </c>
      <c r="L49" s="185">
        <v>0.0</v>
      </c>
      <c r="M49" s="185">
        <v>10.0</v>
      </c>
      <c r="N49" s="185">
        <v>1.0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0.5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3.0</v>
      </c>
      <c r="H50" s="185">
        <v>2.0</v>
      </c>
      <c r="I50" s="185">
        <v>1.0</v>
      </c>
      <c r="J50" s="185">
        <v>1.0</v>
      </c>
      <c r="K50" s="185">
        <v>1.0</v>
      </c>
      <c r="L50" s="185">
        <v>1.0</v>
      </c>
      <c r="M50" s="185">
        <v>14.0</v>
      </c>
      <c r="N50" s="185">
        <v>1.0</v>
      </c>
      <c r="O50" s="185">
        <v>0.0</v>
      </c>
      <c r="P50" s="185">
        <v>0.0</v>
      </c>
      <c r="Q50" s="185">
        <v>0.0</v>
      </c>
      <c r="R50" s="185">
        <v>2.0</v>
      </c>
      <c r="S50" s="185">
        <v>1.0</v>
      </c>
      <c r="T50" s="185">
        <v>2326.0</v>
      </c>
      <c r="U50" s="104">
        <f t="shared" si="2"/>
        <v>0.5</v>
      </c>
      <c r="V50" s="104">
        <f t="shared" si="3"/>
        <v>1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10.0</v>
      </c>
      <c r="H57" s="185">
        <v>5.0</v>
      </c>
      <c r="I57" s="185">
        <v>3.0</v>
      </c>
      <c r="J57" s="185">
        <v>0.0</v>
      </c>
      <c r="K57" s="185">
        <v>0.0</v>
      </c>
      <c r="L57" s="185">
        <v>0.0</v>
      </c>
      <c r="M57" s="185">
        <v>10.0</v>
      </c>
      <c r="N57" s="185">
        <v>2.0</v>
      </c>
      <c r="O57" s="185">
        <v>2.0</v>
      </c>
      <c r="P57" s="185">
        <v>3.0</v>
      </c>
      <c r="Q57" s="185">
        <v>1.0</v>
      </c>
      <c r="R57" s="185">
        <v>0.0</v>
      </c>
      <c r="S57" s="185">
        <v>0.0</v>
      </c>
      <c r="T57" s="185">
        <v>5600.0</v>
      </c>
      <c r="U57" s="104">
        <f t="shared" si="2"/>
        <v>0.6</v>
      </c>
      <c r="V57" s="104">
        <f t="shared" si="3"/>
        <v>0.5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85">
        <v>2.0</v>
      </c>
      <c r="H81" s="185">
        <v>0.0</v>
      </c>
      <c r="I81" s="185">
        <v>0.0</v>
      </c>
      <c r="J81" s="185">
        <v>0.0</v>
      </c>
      <c r="K81" s="185">
        <v>0.0</v>
      </c>
      <c r="L81" s="185">
        <v>0.0</v>
      </c>
      <c r="M81" s="185">
        <v>0.0</v>
      </c>
      <c r="N81" s="185">
        <v>0.0</v>
      </c>
      <c r="O81" s="185">
        <v>0.0</v>
      </c>
      <c r="P81" s="185">
        <v>0.0</v>
      </c>
      <c r="Q81" s="185">
        <v>0.0</v>
      </c>
      <c r="R81" s="185">
        <v>0.0</v>
      </c>
      <c r="S81" s="185">
        <v>0.0</v>
      </c>
      <c r="T81" s="185">
        <v>0.0</v>
      </c>
      <c r="U81" s="104">
        <f t="shared" si="8"/>
        <v>0</v>
      </c>
      <c r="V81" s="104">
        <f t="shared" si="9"/>
        <v>0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85">
        <v>0.0</v>
      </c>
      <c r="H83" s="185">
        <v>0.0</v>
      </c>
      <c r="I83" s="185">
        <v>0.0</v>
      </c>
      <c r="J83" s="185">
        <v>0.0</v>
      </c>
      <c r="K83" s="185">
        <v>0.0</v>
      </c>
      <c r="L83" s="185">
        <v>0.0</v>
      </c>
      <c r="M83" s="185">
        <v>0.0</v>
      </c>
      <c r="N83" s="185">
        <v>0.0</v>
      </c>
      <c r="O83" s="185">
        <v>0.0</v>
      </c>
      <c r="P83" s="185">
        <v>0.0</v>
      </c>
      <c r="Q83" s="185">
        <v>0.0</v>
      </c>
      <c r="R83" s="185">
        <v>0.0</v>
      </c>
      <c r="S83" s="185">
        <v>0.0</v>
      </c>
      <c r="T83" s="185">
        <v>0.0</v>
      </c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708</v>
      </c>
      <c r="D2" s="10"/>
      <c r="E2" s="11">
        <f t="shared" ref="E2:R2" si="1">SUM(E5,E20,E23,E26,E29,E32)</f>
        <v>0</v>
      </c>
      <c r="F2" s="11">
        <f t="shared" si="1"/>
        <v>11</v>
      </c>
      <c r="G2" s="11">
        <f t="shared" si="1"/>
        <v>8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2</v>
      </c>
      <c r="L2" s="11">
        <f t="shared" si="1"/>
        <v>0</v>
      </c>
      <c r="M2" s="11">
        <f t="shared" si="1"/>
        <v>14</v>
      </c>
      <c r="N2" s="11">
        <f t="shared" si="1"/>
        <v>6</v>
      </c>
      <c r="O2" s="11">
        <f t="shared" si="1"/>
        <v>1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708</v>
      </c>
      <c r="F4" s="24">
        <f>IFERROR((G2+R2)/F2,0)</f>
        <v>0.7272727273</v>
      </c>
      <c r="G4" s="24">
        <f>IFERROR(H2/G2,0)</f>
        <v>0.125</v>
      </c>
      <c r="H4" s="23">
        <f>(C2/C4)</f>
        <v>11.23809524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1.75</v>
      </c>
      <c r="N4" s="25"/>
      <c r="O4" s="24">
        <f>IFERROR(O2/N2,0)</f>
        <v>0.1666666667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SUMIF(B44:B1137,B17,G44:G1137)</f>
        <v>0</v>
      </c>
      <c r="G17" s="50">
        <f>SUMIF(B44:B1137,B17,H44:H1137)</f>
        <v>0</v>
      </c>
      <c r="H17" s="50">
        <f>SUMIF(B44:B1137,B17,I44:I1137)</f>
        <v>0</v>
      </c>
      <c r="I17" s="50">
        <f>SUMIF(B44:B1137,B17,P44:P1137)</f>
        <v>0</v>
      </c>
      <c r="J17" s="50">
        <f>SUMIF(B44:B1137,B17,Q44:Q1137)</f>
        <v>0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0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708</v>
      </c>
      <c r="D29" s="68"/>
      <c r="E29" s="69">
        <f>SUMIFS(T:T,A:A,B29,D:D,"Y")</f>
        <v>0</v>
      </c>
      <c r="F29" s="70">
        <f>SUMIF(A:A,B29,G:G)</f>
        <v>11</v>
      </c>
      <c r="G29" s="71">
        <f>SUMIF(A:A,B29,H:H)</f>
        <v>8</v>
      </c>
      <c r="H29" s="71">
        <f>SUMIF(A:A,B29,I:I)</f>
        <v>1</v>
      </c>
      <c r="I29" s="71">
        <f>SUMIF(A:A,B29,P:P)</f>
        <v>0</v>
      </c>
      <c r="J29" s="71">
        <f>SUMIF(A:A,B29,Q:Q)</f>
        <v>0</v>
      </c>
      <c r="K29" s="71">
        <f>SUMIF(A:A,B29,R:R)</f>
        <v>2</v>
      </c>
      <c r="L29" s="71">
        <f>SUMIF(A:A,B29,S:S)</f>
        <v>0</v>
      </c>
      <c r="M29" s="71">
        <f>SUMIF(A:A,B29,M:M)</f>
        <v>14</v>
      </c>
      <c r="N29" s="71">
        <f>SUMIF(A:A,B29,N:N)</f>
        <v>6</v>
      </c>
      <c r="O29" s="71">
        <f>SUMIF(A:A,B29,O:O)</f>
        <v>1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708</v>
      </c>
      <c r="F31" s="82">
        <f>IFERROR((G29+R29)/F29,0)</f>
        <v>0.7272727273</v>
      </c>
      <c r="G31" s="82">
        <f>IFERROR(H29/G29,0)</f>
        <v>0.125</v>
      </c>
      <c r="H31" s="81">
        <f>(C29/C31)</f>
        <v>41.64705882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1.75</v>
      </c>
      <c r="N31" s="83"/>
      <c r="O31" s="82">
        <f>IFERROR(O29/N29,0)</f>
        <v>0.1666666667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85">
        <v>8.0</v>
      </c>
      <c r="H86" s="185">
        <v>8.0</v>
      </c>
      <c r="I86" s="185">
        <v>1.0</v>
      </c>
      <c r="J86" s="103"/>
      <c r="K86" s="103"/>
      <c r="L86" s="103"/>
      <c r="M86" s="185">
        <v>14.0</v>
      </c>
      <c r="N86" s="185">
        <v>6.0</v>
      </c>
      <c r="O86" s="185">
        <v>1.0</v>
      </c>
      <c r="P86" s="103"/>
      <c r="Q86" s="103"/>
      <c r="R86" s="185">
        <v>2.0</v>
      </c>
      <c r="S86" s="103"/>
      <c r="T86" s="185">
        <v>708.0</v>
      </c>
      <c r="U86" s="104">
        <f t="shared" si="10"/>
        <v>0.125</v>
      </c>
      <c r="V86" s="104">
        <f t="shared" si="11"/>
        <v>1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85">
        <v>3.0</v>
      </c>
      <c r="H96" s="185">
        <v>0.0</v>
      </c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63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24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SUMIF(B44:B1137,B17,G44:G1137)</f>
        <v>0</v>
      </c>
      <c r="G17" s="50">
        <f>SUMIF(B44:B1137,B17,H44:H1137)</f>
        <v>0</v>
      </c>
      <c r="H17" s="50">
        <f>SUMIF(B44:B1137,B17,I44:I1137)</f>
        <v>0</v>
      </c>
      <c r="I17" s="50">
        <f>SUMIF(B44:B1137,B17,P44:P1137)</f>
        <v>0</v>
      </c>
      <c r="J17" s="50">
        <f>SUMIF(B44:B1137,B17,Q44:Q1137)</f>
        <v>0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0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4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0" si="2">IFERROR(I37/H37,0)</f>
        <v>0</v>
      </c>
      <c r="V37" s="104">
        <f t="shared" ref="V37:V6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13" t="s">
        <v>26</v>
      </c>
      <c r="B60" s="114" t="s">
        <v>30</v>
      </c>
      <c r="C60" s="114" t="s">
        <v>79</v>
      </c>
      <c r="D60" s="139"/>
      <c r="E60" s="114" t="s">
        <v>78</v>
      </c>
      <c r="F60" s="114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20.25" customHeight="1">
      <c r="A61" s="93" t="s">
        <v>36</v>
      </c>
      <c r="B61" s="94" t="s">
        <v>37</v>
      </c>
      <c r="C61" s="94" t="s">
        <v>38</v>
      </c>
      <c r="D61" s="95"/>
      <c r="E61" s="96" t="s">
        <v>39</v>
      </c>
      <c r="F61" s="94" t="s">
        <v>40</v>
      </c>
      <c r="G61" s="97" t="s">
        <v>41</v>
      </c>
      <c r="H61" s="97" t="s">
        <v>42</v>
      </c>
      <c r="I61" s="97" t="s">
        <v>43</v>
      </c>
      <c r="J61" s="97" t="s">
        <v>12</v>
      </c>
      <c r="K61" s="97" t="s">
        <v>44</v>
      </c>
      <c r="L61" s="97" t="s">
        <v>14</v>
      </c>
      <c r="M61" s="97" t="s">
        <v>9</v>
      </c>
      <c r="N61" s="97" t="s">
        <v>10</v>
      </c>
      <c r="O61" s="97" t="s">
        <v>45</v>
      </c>
      <c r="P61" s="97" t="s">
        <v>5</v>
      </c>
      <c r="Q61" s="97" t="s">
        <v>46</v>
      </c>
      <c r="R61" s="97" t="s">
        <v>47</v>
      </c>
      <c r="S61" s="97" t="s">
        <v>48</v>
      </c>
      <c r="T61" s="97" t="s">
        <v>0</v>
      </c>
      <c r="U61" s="96" t="s">
        <v>49</v>
      </c>
      <c r="V61" s="96" t="s">
        <v>50</v>
      </c>
      <c r="W61" s="98"/>
    </row>
    <row r="62" ht="12.75" customHeight="1">
      <c r="A62" s="140" t="s">
        <v>31</v>
      </c>
      <c r="B62" s="141"/>
      <c r="C62" s="141"/>
      <c r="D62" s="142" t="s">
        <v>52</v>
      </c>
      <c r="E62" s="102" t="s">
        <v>82</v>
      </c>
      <c r="F62" s="102" t="s">
        <v>31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ref="U62:U66" si="4">IFERROR(I62/H62,0)</f>
        <v>0</v>
      </c>
      <c r="V62" s="104">
        <f t="shared" ref="V62:V66" si="5">IFERROR(SUM(H62+L62)/G62,0)</f>
        <v>0</v>
      </c>
      <c r="W62" s="105"/>
    </row>
    <row r="63" ht="12.75" customHeight="1">
      <c r="A63" s="143" t="s">
        <v>31</v>
      </c>
      <c r="B63" s="144"/>
      <c r="C63" s="127" t="s">
        <v>83</v>
      </c>
      <c r="D63" s="127" t="s">
        <v>52</v>
      </c>
      <c r="E63" s="127"/>
      <c r="F63" s="127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7" t="s">
        <v>31</v>
      </c>
      <c r="B64" s="148"/>
      <c r="C64" s="120" t="s">
        <v>83</v>
      </c>
      <c r="D64" s="117"/>
      <c r="E64" s="120"/>
      <c r="F64" s="120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49" t="s">
        <v>31</v>
      </c>
      <c r="B65" s="150"/>
      <c r="C65" s="151" t="s">
        <v>85</v>
      </c>
      <c r="D65" s="151"/>
      <c r="E65" s="151"/>
      <c r="F65" s="151" t="s">
        <v>85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12.75" customHeight="1">
      <c r="A66" s="152" t="s">
        <v>31</v>
      </c>
      <c r="B66" s="153"/>
      <c r="C66" s="154" t="s">
        <v>85</v>
      </c>
      <c r="D66" s="151"/>
      <c r="E66" s="154" t="s">
        <v>86</v>
      </c>
      <c r="F66" s="154" t="s">
        <v>87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5">
        <f t="shared" si="4"/>
        <v>0</v>
      </c>
      <c r="V66" s="145">
        <f t="shared" si="5"/>
        <v>0</v>
      </c>
      <c r="W66" s="146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3.5" customHeight="1">
      <c r="A68" s="155" t="s">
        <v>32</v>
      </c>
      <c r="B68" s="156"/>
      <c r="C68" s="157"/>
      <c r="D68" s="158" t="s">
        <v>52</v>
      </c>
      <c r="E68" s="156" t="s">
        <v>88</v>
      </c>
      <c r="F68" s="156" t="s">
        <v>32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7" si="6">IFERROR(I68/H68,0)</f>
        <v>0</v>
      </c>
      <c r="V68" s="104">
        <f t="shared" ref="V68:V77" si="7">IFERROR(SUM(H68+L68)/G68,0)</f>
        <v>0</v>
      </c>
      <c r="W68" s="105"/>
    </row>
    <row r="69" ht="13.5" customHeight="1">
      <c r="A69" s="114" t="s">
        <v>32</v>
      </c>
      <c r="B69" s="114"/>
      <c r="C69" s="159"/>
      <c r="D69" s="134"/>
      <c r="E69" s="114" t="s">
        <v>88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88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88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88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88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88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88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88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14" t="s">
        <v>32</v>
      </c>
      <c r="B77" s="114"/>
      <c r="C77" s="114"/>
      <c r="D77" s="160"/>
      <c r="E77" s="114" t="s">
        <v>88</v>
      </c>
      <c r="F77" s="114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20.25" customHeight="1">
      <c r="A78" s="93" t="s">
        <v>36</v>
      </c>
      <c r="B78" s="94" t="s">
        <v>37</v>
      </c>
      <c r="C78" s="94" t="s">
        <v>38</v>
      </c>
      <c r="D78" s="95"/>
      <c r="E78" s="96" t="s">
        <v>39</v>
      </c>
      <c r="F78" s="94" t="s">
        <v>40</v>
      </c>
      <c r="G78" s="97" t="s">
        <v>41</v>
      </c>
      <c r="H78" s="97" t="s">
        <v>42</v>
      </c>
      <c r="I78" s="97" t="s">
        <v>43</v>
      </c>
      <c r="J78" s="97" t="s">
        <v>12</v>
      </c>
      <c r="K78" s="97" t="s">
        <v>44</v>
      </c>
      <c r="L78" s="97" t="s">
        <v>14</v>
      </c>
      <c r="M78" s="97" t="s">
        <v>9</v>
      </c>
      <c r="N78" s="97" t="s">
        <v>10</v>
      </c>
      <c r="O78" s="97" t="s">
        <v>45</v>
      </c>
      <c r="P78" s="97" t="s">
        <v>5</v>
      </c>
      <c r="Q78" s="97" t="s">
        <v>46</v>
      </c>
      <c r="R78" s="97" t="s">
        <v>47</v>
      </c>
      <c r="S78" s="97" t="s">
        <v>48</v>
      </c>
      <c r="T78" s="97" t="s">
        <v>0</v>
      </c>
      <c r="U78" s="96" t="s">
        <v>49</v>
      </c>
      <c r="V78" s="96" t="s">
        <v>50</v>
      </c>
      <c r="W78" s="98"/>
    </row>
    <row r="79" ht="12.75" customHeight="1">
      <c r="A79" s="161" t="s">
        <v>33</v>
      </c>
      <c r="B79" s="161"/>
      <c r="C79" s="161"/>
      <c r="D79" s="162" t="s">
        <v>52</v>
      </c>
      <c r="E79" s="161" t="s">
        <v>98</v>
      </c>
      <c r="F79" s="161" t="s">
        <v>33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ref="U79:U83" si="8">IFERROR(I79/H79,0)</f>
        <v>0</v>
      </c>
      <c r="V79" s="104">
        <f t="shared" ref="V79:V83" si="9">IFERROR(SUM(H79+L79)/G79,0)</f>
        <v>0</v>
      </c>
      <c r="W79" s="105"/>
    </row>
    <row r="80" ht="12.75" customHeight="1">
      <c r="A80" s="163" t="s">
        <v>33</v>
      </c>
      <c r="B80" s="164"/>
      <c r="C80" s="164"/>
      <c r="D80" s="101"/>
      <c r="E80" s="126" t="s">
        <v>74</v>
      </c>
      <c r="F80" s="126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5" t="s">
        <v>33</v>
      </c>
      <c r="B81" s="165"/>
      <c r="C81" s="128" t="s">
        <v>100</v>
      </c>
      <c r="D81" s="129" t="s">
        <v>52</v>
      </c>
      <c r="E81" s="117" t="s">
        <v>59</v>
      </c>
      <c r="F81" s="128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1" t="s">
        <v>33</v>
      </c>
      <c r="B82" s="161"/>
      <c r="C82" s="111" t="s">
        <v>101</v>
      </c>
      <c r="D82" s="112" t="s">
        <v>52</v>
      </c>
      <c r="E82" s="111" t="s">
        <v>102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63" t="s">
        <v>33</v>
      </c>
      <c r="B83" s="163"/>
      <c r="C83" s="114" t="s">
        <v>101</v>
      </c>
      <c r="D83" s="115"/>
      <c r="E83" s="114" t="s">
        <v>59</v>
      </c>
      <c r="F83" s="114" t="s">
        <v>103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3.5" customHeight="1">
      <c r="A85" s="166" t="s">
        <v>34</v>
      </c>
      <c r="B85" s="167"/>
      <c r="C85" s="167"/>
      <c r="D85" s="166" t="s">
        <v>52</v>
      </c>
      <c r="E85" s="166" t="s">
        <v>58</v>
      </c>
      <c r="F85" s="166" t="s">
        <v>34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101" si="10">IFERROR(I85/H85,0)</f>
        <v>0</v>
      </c>
      <c r="V85" s="104">
        <f t="shared" ref="V85:V101" si="11">IFERROR(SUM(H85+L85)/G85,0)</f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59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58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74</v>
      </c>
      <c r="F88" s="168" t="s">
        <v>106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107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8" t="s">
        <v>34</v>
      </c>
      <c r="B90" s="167"/>
      <c r="C90" s="167"/>
      <c r="D90" s="167"/>
      <c r="E90" s="168" t="s">
        <v>58</v>
      </c>
      <c r="F90" s="168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9" t="s">
        <v>34</v>
      </c>
      <c r="B95" s="170"/>
      <c r="C95" s="169"/>
      <c r="D95" s="170"/>
      <c r="E95" s="169"/>
      <c r="F95" s="169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1" t="s">
        <v>34</v>
      </c>
      <c r="B96" s="172"/>
      <c r="C96" s="171" t="s">
        <v>115</v>
      </c>
      <c r="D96" s="173" t="s">
        <v>52</v>
      </c>
      <c r="E96" s="171" t="s">
        <v>102</v>
      </c>
      <c r="F96" s="171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115</v>
      </c>
      <c r="D97" s="175"/>
      <c r="E97" s="174" t="s">
        <v>116</v>
      </c>
      <c r="F97" s="174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115</v>
      </c>
      <c r="D98" s="175"/>
      <c r="E98" s="174" t="s">
        <v>118</v>
      </c>
      <c r="F98" s="174" t="s">
        <v>119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74" t="s">
        <v>34</v>
      </c>
      <c r="B99" s="175"/>
      <c r="C99" s="174" t="s">
        <v>115</v>
      </c>
      <c r="D99" s="175"/>
      <c r="E99" s="174"/>
      <c r="F99" s="174" t="s">
        <v>117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6" t="s">
        <v>34</v>
      </c>
      <c r="B100" s="176"/>
      <c r="C100" s="166" t="s">
        <v>120</v>
      </c>
      <c r="D100" s="166" t="s">
        <v>52</v>
      </c>
      <c r="E100" s="166" t="s">
        <v>121</v>
      </c>
      <c r="F100" s="166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9" t="s">
        <v>34</v>
      </c>
      <c r="B101" s="170"/>
      <c r="C101" s="169" t="s">
        <v>120</v>
      </c>
      <c r="D101" s="170"/>
      <c r="E101" s="169"/>
      <c r="F101" s="169" t="s">
        <v>122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20.25" customHeight="1">
      <c r="A102" s="93" t="s">
        <v>36</v>
      </c>
      <c r="B102" s="94" t="s">
        <v>37</v>
      </c>
      <c r="C102" s="94" t="s">
        <v>38</v>
      </c>
      <c r="D102" s="95"/>
      <c r="E102" s="96" t="s">
        <v>39</v>
      </c>
      <c r="F102" s="94" t="s">
        <v>40</v>
      </c>
      <c r="G102" s="97" t="s">
        <v>41</v>
      </c>
      <c r="H102" s="97" t="s">
        <v>42</v>
      </c>
      <c r="I102" s="97" t="s">
        <v>43</v>
      </c>
      <c r="J102" s="97" t="s">
        <v>12</v>
      </c>
      <c r="K102" s="97" t="s">
        <v>44</v>
      </c>
      <c r="L102" s="97" t="s">
        <v>14</v>
      </c>
      <c r="M102" s="97" t="s">
        <v>9</v>
      </c>
      <c r="N102" s="97" t="s">
        <v>10</v>
      </c>
      <c r="O102" s="97" t="s">
        <v>45</v>
      </c>
      <c r="P102" s="97" t="s">
        <v>5</v>
      </c>
      <c r="Q102" s="97" t="s">
        <v>46</v>
      </c>
      <c r="R102" s="97" t="s">
        <v>47</v>
      </c>
      <c r="S102" s="97" t="s">
        <v>48</v>
      </c>
      <c r="T102" s="97" t="s">
        <v>0</v>
      </c>
      <c r="U102" s="96" t="s">
        <v>49</v>
      </c>
      <c r="V102" s="96" t="s">
        <v>50</v>
      </c>
      <c r="W102" s="98"/>
    </row>
    <row r="103" ht="20.25" customHeight="1">
      <c r="A103" s="111" t="s">
        <v>35</v>
      </c>
      <c r="B103" s="160"/>
      <c r="C103" s="111"/>
      <c r="D103" s="111" t="s">
        <v>52</v>
      </c>
      <c r="E103" s="111" t="s">
        <v>59</v>
      </c>
      <c r="F103" s="111" t="s">
        <v>35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ref="U103:U104" si="12">IFERROR(I103/H103,0)</f>
        <v>0</v>
      </c>
      <c r="V103" s="145">
        <f t="shared" ref="V103:V104" si="13">IFERROR(SUM(H103+L103)/G103,0)</f>
        <v>0</v>
      </c>
      <c r="W103" s="146"/>
    </row>
    <row r="104" ht="12.75" customHeight="1">
      <c r="A104" s="117" t="s">
        <v>35</v>
      </c>
      <c r="B104" s="136"/>
      <c r="C104" s="117" t="s">
        <v>123</v>
      </c>
      <c r="D104" s="117" t="s">
        <v>52</v>
      </c>
      <c r="E104" s="117"/>
      <c r="F104" s="117" t="s">
        <v>123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45">
        <f t="shared" si="12"/>
        <v>0</v>
      </c>
      <c r="V104" s="145">
        <f t="shared" si="13"/>
        <v>0</v>
      </c>
      <c r="W104" s="146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77"/>
      <c r="B618" s="177"/>
      <c r="C618" s="177"/>
      <c r="D618" s="1"/>
      <c r="E618" s="177"/>
      <c r="F618" s="178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80"/>
      <c r="V618" s="180"/>
      <c r="W618" s="180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7" t="s">
        <v>124</v>
      </c>
      <c r="B1" s="187" t="s">
        <v>125</v>
      </c>
      <c r="C1" s="187" t="s">
        <v>36</v>
      </c>
      <c r="D1" s="187" t="s">
        <v>126</v>
      </c>
      <c r="E1" s="187" t="s">
        <v>0</v>
      </c>
      <c r="F1" s="187" t="s">
        <v>127</v>
      </c>
      <c r="G1" s="187" t="s">
        <v>128</v>
      </c>
      <c r="H1" s="187" t="s">
        <v>129</v>
      </c>
      <c r="I1" s="187" t="s">
        <v>130</v>
      </c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</row>
    <row r="2">
      <c r="A2" s="189" t="s">
        <v>131</v>
      </c>
      <c r="B2" s="189" t="s">
        <v>132</v>
      </c>
      <c r="C2" s="189" t="s">
        <v>133</v>
      </c>
      <c r="D2" s="190">
        <v>46093.0</v>
      </c>
      <c r="E2" s="189">
        <v>2222.28</v>
      </c>
      <c r="F2" s="189" t="s">
        <v>134</v>
      </c>
      <c r="G2" s="189" t="s">
        <v>135</v>
      </c>
      <c r="H2" s="189" t="s">
        <v>136</v>
      </c>
      <c r="I2" s="189" t="s">
        <v>116</v>
      </c>
    </row>
    <row r="3">
      <c r="A3" s="189" t="s">
        <v>137</v>
      </c>
      <c r="B3" s="189" t="s">
        <v>138</v>
      </c>
      <c r="C3" s="189" t="s">
        <v>133</v>
      </c>
      <c r="D3" s="190">
        <v>46094.0</v>
      </c>
      <c r="E3" s="189">
        <v>1954.8</v>
      </c>
      <c r="F3" s="189" t="s">
        <v>134</v>
      </c>
      <c r="G3" s="189" t="s">
        <v>139</v>
      </c>
      <c r="H3" s="189" t="s">
        <v>140</v>
      </c>
      <c r="I3" s="189" t="s">
        <v>116</v>
      </c>
    </row>
    <row r="4">
      <c r="A4" s="189" t="s">
        <v>141</v>
      </c>
      <c r="B4" s="189" t="s">
        <v>142</v>
      </c>
      <c r="C4" s="189" t="s">
        <v>143</v>
      </c>
      <c r="D4" s="190">
        <v>46093.0</v>
      </c>
      <c r="E4" s="189">
        <v>1825.32</v>
      </c>
      <c r="F4" s="189" t="s">
        <v>134</v>
      </c>
      <c r="G4" s="189" t="s">
        <v>144</v>
      </c>
      <c r="H4" s="189" t="s">
        <v>145</v>
      </c>
      <c r="I4" s="189" t="s">
        <v>116</v>
      </c>
    </row>
    <row r="5">
      <c r="A5" s="189" t="s">
        <v>146</v>
      </c>
      <c r="B5" s="189" t="s">
        <v>147</v>
      </c>
      <c r="C5" s="189" t="s">
        <v>133</v>
      </c>
      <c r="D5" s="190">
        <v>46097.0</v>
      </c>
      <c r="E5" s="189">
        <v>1337.04</v>
      </c>
      <c r="F5" s="189" t="s">
        <v>134</v>
      </c>
      <c r="G5" s="189" t="s">
        <v>135</v>
      </c>
      <c r="H5" s="189" t="s">
        <v>148</v>
      </c>
      <c r="I5" s="189" t="s">
        <v>116</v>
      </c>
    </row>
    <row r="6">
      <c r="A6" s="189" t="s">
        <v>149</v>
      </c>
      <c r="B6" s="189" t="s">
        <v>150</v>
      </c>
      <c r="C6" s="189" t="s">
        <v>151</v>
      </c>
      <c r="D6" s="190">
        <v>46094.0</v>
      </c>
      <c r="E6" s="189">
        <v>3199.32</v>
      </c>
      <c r="F6" s="189" t="s">
        <v>134</v>
      </c>
      <c r="G6" s="189" t="s">
        <v>139</v>
      </c>
      <c r="H6" s="189" t="s">
        <v>152</v>
      </c>
      <c r="I6" s="189" t="s">
        <v>116</v>
      </c>
    </row>
    <row r="7">
      <c r="A7" s="189" t="s">
        <v>153</v>
      </c>
      <c r="B7" s="189" t="s">
        <v>142</v>
      </c>
      <c r="C7" s="189" t="s">
        <v>143</v>
      </c>
      <c r="D7" s="190">
        <v>46097.0</v>
      </c>
      <c r="E7" s="189">
        <v>2825.88</v>
      </c>
      <c r="F7" s="189" t="s">
        <v>134</v>
      </c>
      <c r="G7" s="189" t="s">
        <v>144</v>
      </c>
      <c r="H7" s="189" t="s">
        <v>154</v>
      </c>
      <c r="I7" s="189" t="s">
        <v>116</v>
      </c>
    </row>
  </sheetData>
  <drawing r:id="rId1"/>
</worksheet>
</file>