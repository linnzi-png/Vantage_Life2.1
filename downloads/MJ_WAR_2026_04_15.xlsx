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<sst xmlns="http://schemas.openxmlformats.org/spreadsheetml/2006/main" count="2166" uniqueCount="91">
  <si>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</si>
  <si>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</si>
  <si>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</si>
  <si>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</si>
  <si>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</si>
  <si>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</si>
  <si>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</si>
  <si>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</si>
  <si>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</si>
  <si>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</si>
  <si>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</si>
  <si>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</si>
  <si>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</si>
  <si>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</si>
  <si>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</si>
  <si>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</si>
  <si>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</si>
  <si>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</si>
  <si>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</si>
  <si>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</si>
  <si>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</si>
  <si>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</si>
  <si>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</si>
  <si>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</si>
  <si>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</si>
  <si>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</si>
  <si>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</si>
  <si>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</si>
  <si>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</si>
  <si>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</si>
  <si>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</si>
  <si>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</si>
  <si>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</si>
  <si>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</si>
  <si>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</si>
  <si>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</si>
  <si>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</si>
  <si>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</si>
  <si>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</si>
  <si>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</si>
  <si>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</si>
  <si>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</si>
  <si>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</si>
  <si>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</si>
  <si>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</si>
  <si>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</si>
  <si>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</si>
  <si>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</si>
  <si>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</si>
  <si>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</si>
  <si>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</si>
  <si>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</si>
  <si>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</si>
  <si>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</si>
  <si>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</si>
  <si>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</si>
  <si>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</si>
  <si>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</si>
  <si>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</si>
  <si>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</si>
  <si>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FL</t>
  </si>
  <si>
    <t>Christine Demaras</t>
  </si>
  <si>
    <t>Maher Altairi</t>
  </si>
  <si>
    <t>Basel Musaed</t>
  </si>
  <si>
    <t>NJ</t>
  </si>
  <si>
    <t>Lamese Bader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</si>
  <si>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</si>
  <si>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</si>
  <si>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</si>
  <si>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</si>
  <si>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</si>
  <si>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</si>
  <si>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</si>
  <si>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Waleed Othman</t>
  </si>
  <si>
    <t>Angel Ruiz</t>
  </si>
  <si>
    <t>Ashley Beraty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</si>
  <si>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</si>
  <si>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</si>
  <si>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</si>
  <si>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</si>
  <si>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</si>
  <si>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</si>
  <si>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</si>
  <si>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</si>
  <si>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</si>
  <si>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</si>
  <si>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REGINA GUINYARD</t>
  </si>
  <si>
    <t>HANNAH SANDERS</t>
  </si>
  <si>
    <t>ALJAHMI</t>
  </si>
  <si>
    <t>NO</t>
  </si>
  <si>
    <t>CANCEL PER AGENT NOTE- CLIENT REACHED OUT TO CANCEL.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</si>
</sst>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22863</v>
      </c>
      <c r="D2" s="9"/>
      <c r="E2" s="8">
        <f t="shared" ref="E2:R2" si="1">SUM(E5)</f>
        <v>0</v>
      </c>
      <c r="F2" s="8">
        <f t="shared" si="1"/>
        <v>83</v>
      </c>
      <c r="G2" s="10">
        <f t="shared" si="1"/>
        <v>34</v>
      </c>
      <c r="H2" s="10">
        <f t="shared" si="1"/>
        <v>14</v>
      </c>
      <c r="I2" s="10">
        <f t="shared" si="1"/>
        <v>1</v>
      </c>
      <c r="J2" s="10">
        <f t="shared" si="1"/>
        <v>0</v>
      </c>
      <c r="K2" s="10">
        <f t="shared" si="1"/>
        <v>6</v>
      </c>
      <c r="L2" s="10">
        <f t="shared" si="1"/>
        <v>2</v>
      </c>
      <c r="M2" s="10">
        <f t="shared" si="1"/>
        <v>82</v>
      </c>
      <c r="N2" s="10">
        <f t="shared" si="1"/>
        <v>30</v>
      </c>
      <c r="O2" s="10">
        <f t="shared" si="1"/>
        <v>13</v>
      </c>
      <c r="P2" s="10">
        <f t="shared" si="1"/>
        <v>17</v>
      </c>
      <c r="Q2" s="10">
        <f t="shared" si="1"/>
        <v>12</v>
      </c>
      <c r="R2" s="10">
        <f t="shared" si="1"/>
        <v>5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1633.071429</v>
      </c>
      <c r="F4" s="20">
        <f>IFERROR((G2+R2)/F2,0)</f>
        <v>0.4698795181</v>
      </c>
      <c r="G4" s="20">
        <f>IFERROR(H2/G2,0)</f>
        <v>0.4117647059</v>
      </c>
      <c r="H4" s="19">
        <f>(C2/C4)</f>
        <v>846.7777778</v>
      </c>
      <c r="I4" s="21"/>
      <c r="J4" s="20">
        <f>IFERROR(J2/I2,0)</f>
        <v>0</v>
      </c>
      <c r="K4" s="21"/>
      <c r="L4" s="20">
        <f>IFERROR(L2/K2,0)</f>
        <v>0.3333333333</v>
      </c>
      <c r="M4" s="22">
        <f>IFERROR(M2/G2,0)</f>
        <v>2.411764706</v>
      </c>
      <c r="N4" s="21"/>
      <c r="O4" s="20">
        <f>IFERROR(O2/N2,0)</f>
        <v>0.4333333333</v>
      </c>
      <c r="P4" s="22"/>
      <c r="Q4" s="20">
        <f>IFERROR(Q2/P2,0)</f>
        <v>0.7058823529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22863</v>
      </c>
      <c r="D5" s="26"/>
      <c r="E5" s="27">
        <f>SUMIFS(T:T,A:A,B5,D:D,"Y")</f>
        <v>0</v>
      </c>
      <c r="F5" s="8">
        <f>SUMIF(A:A,B5,G:G)</f>
        <v>83</v>
      </c>
      <c r="G5" s="10">
        <f>SUMIF(A:A,B5,H:H)</f>
        <v>34</v>
      </c>
      <c r="H5" s="10">
        <f>SUMIF(A:A,B5,I:I)</f>
        <v>14</v>
      </c>
      <c r="I5" s="10">
        <f>SUMIF(A:A,B5,P:P)</f>
        <v>1</v>
      </c>
      <c r="J5" s="10">
        <f>SUMIF(A:A,B5,Q:Q)</f>
        <v>0</v>
      </c>
      <c r="K5" s="10">
        <f>SUMIF(A:A,B5,R:R)</f>
        <v>6</v>
      </c>
      <c r="L5" s="10">
        <f>SUMIF(A:A,B5,S:S)</f>
        <v>2</v>
      </c>
      <c r="M5" s="10">
        <f>SUMIF(A:A,B5,M:M)</f>
        <v>82</v>
      </c>
      <c r="N5" s="10">
        <f>SUMIF(A:A,B5,N:N)</f>
        <v>30</v>
      </c>
      <c r="O5" s="10">
        <f>SUMIF(A:A,B5,O:O)</f>
        <v>13</v>
      </c>
      <c r="P5" s="10">
        <f>SUMIF(A:A,B5,J:J)</f>
        <v>17</v>
      </c>
      <c r="Q5" s="10">
        <f>SUMIF(A:A,B5,K:K)</f>
        <v>12</v>
      </c>
      <c r="R5" s="10">
        <f>SUMIF(A:A,B5,L:L)</f>
        <v>5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1633.071429</v>
      </c>
      <c r="F7" s="20">
        <f>IFERROR((G5+R5)/F5,0)</f>
        <v>0.4698795181</v>
      </c>
      <c r="G7" s="20">
        <f>IFERROR(H5/G5,0)</f>
        <v>0.4117647059</v>
      </c>
      <c r="H7" s="19">
        <f>(C5/C7)</f>
        <v>846.7777778</v>
      </c>
      <c r="I7" s="21"/>
      <c r="J7" s="20">
        <f>IFERROR(J5/I5,0)</f>
        <v>0</v>
      </c>
      <c r="K7" s="21"/>
      <c r="L7" s="20">
        <f>IFERROR(L5/K5,0)</f>
        <v>0.3333333333</v>
      </c>
      <c r="M7" s="22">
        <f>IFERROR(M5/SUM(R5+G5,0),"")</f>
        <v>2.102564103</v>
      </c>
      <c r="N7" s="21"/>
      <c r="O7" s="20">
        <f>IFERROR(O5/N5,0)</f>
        <v>0.4333333333</v>
      </c>
      <c r="P7" s="22"/>
      <c r="Q7" s="20">
        <f>IFERROR(Q5/P5,0)</f>
        <v>0.7058823529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22863</v>
      </c>
      <c r="D8" s="36"/>
      <c r="E8" s="37">
        <f>SUMIFS(T:T,B:B,B8,D:D,"Y")</f>
        <v>0</v>
      </c>
      <c r="F8" s="38">
        <f>SUMIF(B16:B1036,B8,G16:G1036)</f>
        <v>83</v>
      </c>
      <c r="G8" s="39">
        <f>SUMIF(B16:B1036,B8,H16:H1036)</f>
        <v>34</v>
      </c>
      <c r="H8" s="38">
        <f>SUMIF(B16:B1036,B8,I16:I1036)</f>
        <v>14</v>
      </c>
      <c r="I8" s="39">
        <f>SUMIF(B16:B1036,B8,P16:P1036)</f>
        <v>1</v>
      </c>
      <c r="J8" s="39">
        <f>SUMIF(B16:B1036,B8,Q16:Q1036)</f>
        <v>0</v>
      </c>
      <c r="K8" s="39">
        <f>SUMIF(B16:B1036,B8,R16:R1036)</f>
        <v>6</v>
      </c>
      <c r="L8" s="39">
        <f>SUMIF(B16:B1036,B8,S16:S1036)</f>
        <v>2</v>
      </c>
      <c r="M8" s="39">
        <f>SUMIF(B16:B1036,B8,M16:M1036)</f>
        <v>82</v>
      </c>
      <c r="N8" s="39">
        <f>SUMIF(B16:B1036,B8,N16:N1036)</f>
        <v>30</v>
      </c>
      <c r="O8" s="38">
        <f>SUMIF(B16:B1036,B8,O16:O1036)</f>
        <v>13</v>
      </c>
      <c r="P8" s="39">
        <f>SUMIF(B16:B1036,B8,J16:J1036)</f>
        <v>17</v>
      </c>
      <c r="Q8" s="39">
        <f>SUMIF(B16:B1036,B8,K16:K1036)</f>
        <v>12</v>
      </c>
      <c r="R8" s="38">
        <f>SUMIF(B16:B1036,B8,L16:L1036)</f>
        <v>5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COUNTIFS(B16:B1036,B8)</f>
        <v>24</v>
      </c>
      <c r="D10" s="42"/>
      <c r="E10" s="50">
        <f>IFERROR(C8/H8,0)</f>
        <v>1633.071429</v>
      </c>
      <c r="F10" s="51">
        <f>IFERROR((G8+R8)/F8,0)</f>
        <v>0.4698795181</v>
      </c>
      <c r="G10" s="51">
        <f>IFERROR(H8/G8,0)</f>
        <v>0.4117647059</v>
      </c>
      <c r="H10" s="50">
        <f>(C8/C10)</f>
        <v>952.625</v>
      </c>
      <c r="I10" s="46"/>
      <c r="J10" s="51">
        <f>IFERROR(J8/I8,0)</f>
        <v>0</v>
      </c>
      <c r="K10" s="46"/>
      <c r="L10" s="51">
        <f>IFERROR(L8/K8,0)</f>
        <v>0.3333333333</v>
      </c>
      <c r="M10" s="52">
        <f>IFERROR(M8/SUM(G8+R8,0),"")</f>
        <v>2.102564103</v>
      </c>
      <c r="N10" s="46"/>
      <c r="O10" s="51">
        <f>IFERROR(O8/N8,0)</f>
        <v>0.4333333333</v>
      </c>
      <c r="P10" s="53"/>
      <c r="Q10" s="51">
        <f>IFERROR(Q8/P8,0)</f>
        <v>0.7058823529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SUMIF(B44:B1036,B11,G44:G1036)</f>
        <v>0</v>
      </c>
      <c r="G11" s="39">
        <f>SUMIF(B44:B1036,B11,H44:H1036)</f>
        <v>0</v>
      </c>
      <c r="H11" s="38">
        <f>SUMIF(B44:B1036,B11,I44:I1036)</f>
        <v>0</v>
      </c>
      <c r="I11" s="39">
        <f>SUMIF(B44:B1036,B11,P44:P1036)</f>
        <v>0</v>
      </c>
      <c r="J11" s="39">
        <f>SUMIF(B44:B1036,B11,Q44:Q1036)</f>
        <v>0</v>
      </c>
      <c r="K11" s="39">
        <f>SUMIF(B44:B1036,B11,R44:R1036)</f>
        <v>0</v>
      </c>
      <c r="L11" s="39">
        <f>SUMIF(B44:B1036,B11,S44:S1036)</f>
        <v>0</v>
      </c>
      <c r="M11" s="39">
        <f>SUMIF(B44:B1036,B11,M44:M1036)</f>
        <v>0</v>
      </c>
      <c r="N11" s="39">
        <f>SUMIF(B44:B1036,B11,N44:N1036)</f>
        <v>0</v>
      </c>
      <c r="O11" s="38">
        <f>SUMIF(B44:B1036,B11,O44:O1036)</f>
        <v>0</v>
      </c>
      <c r="P11" s="39">
        <f>SUMIF(B44:B1036,B11,J44:J1036)</f>
        <v>0</v>
      </c>
      <c r="Q11" s="39">
        <f>SUMIF(B44:B1036,B11,K44:K1036)</f>
        <v>0</v>
      </c>
      <c r="R11" s="38">
        <f>SUMIF(B44:B1036,B11,L44:L1036)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COUNTIFS(B16:B1036,B11)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3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2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2</v>
      </c>
      <c r="I23" s="66">
        <f>('Thurs (2)'!I23+Thurs!I23+'Tues '!I23+Wed!I23+Fri!I23+'Mon '!I23+'Wed (2)'!I23+Sun!I23+Sat!I23)</f>
        <v>2</v>
      </c>
      <c r="J23" s="66">
        <f>('Thurs (2)'!J23+Thurs!J23+'Tues '!J23+Wed!J23+Fri!J23+'Mon '!J23+'Wed (2)'!J23+Sun!J23+Sat!J23)</f>
        <v>2</v>
      </c>
      <c r="K23" s="66">
        <f>('Thurs (2)'!K23+Thurs!K23+'Tues '!K23+Wed!K23+Fri!K23+'Mon '!K23+'Wed (2)'!K23+Sun!K23+Sat!K23)</f>
        <v>2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1</v>
      </c>
      <c r="O23" s="66">
        <f>('Thurs (2)'!O23+Thurs!O23+'Tues '!O23+Wed!O23+Fri!O23+'Mon '!O23+'Wed (2)'!O23+Sun!O23+Sat!O23)</f>
        <v>1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1</v>
      </c>
      <c r="S23" s="66">
        <f>('Thurs (2)'!S23+Thurs!S23+'Tues '!S23+Wed!S23+Fri!S23+'Mon '!S23+'Wed (2)'!S23+Sun!S23+Sat!S23)</f>
        <v>1</v>
      </c>
      <c r="T23" s="66">
        <f>('Thurs (2)'!T23+Thurs!T23+'Tues '!T23+Wed!T23+Fri!T23+'Mon '!T23+'Wed (2)'!T23+Sun!T23+Sat!T23)</f>
        <v>3923</v>
      </c>
      <c r="U23" s="67">
        <f t="shared" si="2"/>
        <v>1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5</v>
      </c>
      <c r="H24" s="66">
        <f>('Thurs (2)'!H24+Thurs!H24+'Tues '!H24+Wed!H24+Fri!H24+'Mon '!H24+'Wed (2)'!H24+Sun!H24+Sat!H24)</f>
        <v>1</v>
      </c>
      <c r="I24" s="66">
        <f>('Thurs (2)'!I24+Thurs!I24+'Tues '!I24+Wed!I24+Fri!I24+'Mon '!I24+'Wed (2)'!I24+Sun!I24+Sat!I24)</f>
        <v>1</v>
      </c>
      <c r="J24" s="66">
        <f>('Thurs (2)'!J24+Thurs!J24+'Tues '!J24+Wed!J24+Fri!J24+'Mon '!J24+'Wed (2)'!J24+Sun!J24+Sat!J24)</f>
        <v>0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0</v>
      </c>
      <c r="N24" s="66">
        <f>('Thurs (2)'!N24+Thurs!N24+'Tues '!N24+Wed!N24+Fri!N24+'Mon '!N24+'Wed (2)'!N24+Sun!N24+Sat!N24)</f>
        <v>1</v>
      </c>
      <c r="O24" s="66">
        <f>('Thurs (2)'!O24+Thurs!O24+'Tues '!O24+Wed!O24+Fri!O24+'Mon '!O24+'Wed (2)'!O24+Sun!O24+Sat!O24)</f>
        <v>1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768</v>
      </c>
      <c r="U24" s="67">
        <f t="shared" si="2"/>
        <v>1</v>
      </c>
      <c r="V24" s="67">
        <f t="shared" si="3"/>
        <v>0.2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0</v>
      </c>
      <c r="H25" s="66">
        <f>('Thurs (2)'!H25+Thurs!H25+'Tues '!H25+Wed!H25+Fri!H25+'Mon '!H25+'Wed (2)'!H25+Sun!H25+Sat!H25)</f>
        <v>0</v>
      </c>
      <c r="I25" s="66">
        <f>('Thurs (2)'!I25+Thurs!I25+'Tues '!I25+Wed!I25+Fri!I25+'Mon '!I25+'Wed (2)'!I25+Sun!I25+Sat!I25)</f>
        <v>0</v>
      </c>
      <c r="J25" s="66">
        <f>('Thurs (2)'!J25+Thurs!J25+'Tues '!J25+Wed!J25+Fri!J25+'Mon '!J25+'Wed (2)'!J25+Sun!J25+Sat!J25)</f>
        <v>0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0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33</v>
      </c>
      <c r="H27" s="66">
        <f>('Thurs (2)'!H27+Thurs!H27+'Tues '!H27+Wed!H27+Fri!H27+'Mon '!H27+'Wed (2)'!H27+Sun!H27+Sat!H27)</f>
        <v>8</v>
      </c>
      <c r="I27" s="66">
        <f>('Thurs (2)'!I27+Thurs!I27+'Tues '!I27+Wed!I27+Fri!I27+'Mon '!I27+'Wed (2)'!I27+Sun!I27+Sat!I27)</f>
        <v>6</v>
      </c>
      <c r="J27" s="66">
        <f>('Thurs (2)'!J27+Thurs!J27+'Tues '!J27+Wed!J27+Fri!J27+'Mon '!J27+'Wed (2)'!J27+Sun!J27+Sat!J27)</f>
        <v>6</v>
      </c>
      <c r="K27" s="66">
        <f>('Thurs (2)'!K27+Thurs!K27+'Tues '!K27+Wed!K27+Fri!K27+'Mon '!K27+'Wed (2)'!K27+Sun!K27+Sat!K27)</f>
        <v>6</v>
      </c>
      <c r="L27" s="66">
        <f>('Thurs (2)'!L27+Thurs!L27+'Tues '!L27+Wed!L27+Fri!L27+'Mon '!L27+'Wed (2)'!L27+Sun!L27+Sat!L27)</f>
        <v>3</v>
      </c>
      <c r="M27" s="66">
        <f>('Thurs (2)'!M27+Thurs!M27+'Tues '!M27+Wed!M27+Fri!M27+'Mon '!M27+'Wed (2)'!M27+Sun!M27+Sat!M27)</f>
        <v>22</v>
      </c>
      <c r="N27" s="66">
        <f>('Thurs (2)'!N27+Thurs!N27+'Tues '!N27+Wed!N27+Fri!N27+'Mon '!N27+'Wed (2)'!N27+Sun!N27+Sat!N27)</f>
        <v>8</v>
      </c>
      <c r="O27" s="66">
        <f>('Thurs (2)'!O27+Thurs!O27+'Tues '!O27+Wed!O27+Fri!O27+'Mon '!O27+'Wed (2)'!O27+Sun!O27+Sat!O27)</f>
        <v>6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0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12382</v>
      </c>
      <c r="U27" s="67">
        <f t="shared" si="2"/>
        <v>0.75</v>
      </c>
      <c r="V27" s="67">
        <f t="shared" si="3"/>
        <v>0.3333333333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1</v>
      </c>
      <c r="H28" s="66">
        <f>('Thurs (2)'!H28+Thurs!H28+'Tues '!H28+Wed!H28+Fri!H28+'Mon '!H28+'Wed (2)'!H28+Sun!H28+Sat!H28)</f>
        <v>0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5</v>
      </c>
      <c r="H29" s="66">
        <f>('Thurs (2)'!H29+Thurs!H29+'Tues '!H29+Wed!H29+Fri!H29+'Mon '!H29+'Wed (2)'!H29+Sun!H29+Sat!H29)</f>
        <v>3</v>
      </c>
      <c r="I29" s="66">
        <f>('Thurs (2)'!I29+Thurs!I29+'Tues '!I29+Wed!I29+Fri!I29+'Mon '!I29+'Wed (2)'!I29+Sun!I29+Sat!I29)</f>
        <v>0</v>
      </c>
      <c r="J29" s="66">
        <f>('Thurs (2)'!J29+Thurs!J29+'Tues '!J29+Wed!J29+Fri!J29+'Mon '!J29+'Wed (2)'!J29+Sun!J29+Sat!J29)</f>
        <v>2</v>
      </c>
      <c r="K29" s="66">
        <f>('Thurs (2)'!K29+Thurs!K29+'Tues '!K29+Wed!K29+Fri!K29+'Mon '!K29+'Wed (2)'!K29+Sun!K29+Sat!K29)</f>
        <v>0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13</v>
      </c>
      <c r="N29" s="66">
        <f>('Thurs (2)'!N29+Thurs!N29+'Tues '!N29+Wed!N29+Fri!N29+'Mon '!N29+'Wed (2)'!N29+Sun!N29+Sat!N29)</f>
        <v>2</v>
      </c>
      <c r="O29" s="66">
        <f>('Thurs (2)'!O29+Thurs!O29+'Tues '!O29+Wed!O29+Fri!O29+'Mon '!O29+'Wed (2)'!O29+Sun!O29+Sat!O29)</f>
        <v>0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1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0</v>
      </c>
      <c r="U29" s="67">
        <f t="shared" si="2"/>
        <v>0</v>
      </c>
      <c r="V29" s="67">
        <f t="shared" si="3"/>
        <v>0.6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>
        <f>('Thurs (2)'!G30+Thurs!G30+'Tues '!G30+Wed!G30+Fri!G30+'Mon '!G30+'Wed (2)'!G30+Sun!G30+Sat!G30)</f>
        <v>9</v>
      </c>
      <c r="H30" s="66">
        <f>('Thurs (2)'!H30+Thurs!H30+'Tues '!H30+Wed!H30+Fri!H30+'Mon '!H30+'Wed (2)'!H30+Sun!H30+Sat!H30)</f>
        <v>5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0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1</v>
      </c>
      <c r="M30" s="66">
        <f>('Thurs (2)'!M30+Thurs!M30+'Tues '!M30+Wed!M30+Fri!M30+'Mon '!M30+'Wed (2)'!M30+Sun!M30+Sat!M30)</f>
        <v>12</v>
      </c>
      <c r="N30" s="66">
        <f>('Thurs (2)'!N30+Thurs!N30+'Tues '!N30+Wed!N30+Fri!N30+'Mon '!N30+'Wed (2)'!N30+Sun!N30+Sat!N30)</f>
        <v>5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0.6666666667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>
        <f>('Thurs (2)'!G31+Thurs!G31+'Tues '!G31+Wed!G31+Fri!G31+'Mon '!G31+'Wed (2)'!G31+Sun!G31+Sat!G31)</f>
        <v>2</v>
      </c>
      <c r="H31" s="66">
        <f>('Thurs (2)'!H31+Thurs!H31+'Tues '!H31+Wed!H31+Fri!H31+'Mon '!H31+'Wed (2)'!H31+Sun!H31+Sat!H31)</f>
        <v>2</v>
      </c>
      <c r="I31" s="66">
        <f>('Thurs (2)'!I31+Thurs!I31+'Tues '!I31+Wed!I31+Fri!I31+'Mon '!I31+'Wed (2)'!I31+Sun!I31+Sat!I31)</f>
        <v>2</v>
      </c>
      <c r="J31" s="66">
        <f>('Thurs (2)'!J31+Thurs!J31+'Tues '!J31+Wed!J31+Fri!J31+'Mon '!J31+'Wed (2)'!J31+Sun!J31+Sat!J31)</f>
        <v>2</v>
      </c>
      <c r="K31" s="66">
        <f>('Thurs (2)'!K31+Thurs!K31+'Tues '!K31+Wed!K31+Fri!K31+'Mon '!K31+'Wed (2)'!K31+Sun!K31+Sat!K31)</f>
        <v>2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5</v>
      </c>
      <c r="N31" s="66">
        <f>('Thurs (2)'!N31+Thurs!N31+'Tues '!N31+Wed!N31+Fri!N31+'Mon '!N31+'Wed (2)'!N31+Sun!N31+Sat!N31)</f>
        <v>2</v>
      </c>
      <c r="O31" s="66">
        <f>('Thurs (2)'!O31+Thurs!O31+'Tues '!O31+Wed!O31+Fri!O31+'Mon '!O31+'Wed (2)'!O31+Sun!O31+Sat!O31)</f>
        <v>2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3756</v>
      </c>
      <c r="U31" s="67">
        <f t="shared" si="2"/>
        <v>1</v>
      </c>
      <c r="V31" s="67">
        <f t="shared" si="3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0</v>
      </c>
      <c r="H32" s="66">
        <f>('Thurs (2)'!H32+Thurs!H32+'Tues '!H32+Wed!H32+Fri!H32+'Mon '!H32+'Wed (2)'!H32+Sun!H32+Sat!H32)</f>
        <v>0</v>
      </c>
      <c r="I32" s="66">
        <f>('Thurs (2)'!I32+Thurs!I32+'Tues '!I32+Wed!I32+Fri!I32+'Mon '!I32+'Wed (2)'!I32+Sun!I32+Sat!I32)</f>
        <v>0</v>
      </c>
      <c r="J32" s="66">
        <f>('Thurs (2)'!J32+Thurs!J32+'Tues '!J32+Wed!J32+Fri!J32+'Mon '!J32+'Wed (2)'!J32+Sun!J32+Sat!J32)</f>
        <v>0</v>
      </c>
      <c r="K32" s="66">
        <f>('Thurs (2)'!K32+Thurs!K32+'Tues '!K32+Wed!K32+Fri!K32+'Mon '!K32+'Wed (2)'!K32+Sun!K32+Sat!K32)</f>
        <v>0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0</v>
      </c>
      <c r="N32" s="66">
        <f>('Thurs (2)'!N32+Thurs!N32+'Tues '!N32+Wed!N32+Fri!N32+'Mon '!N32+'Wed (2)'!N32+Sun!N32+Sat!N32)</f>
        <v>0</v>
      </c>
      <c r="O32" s="66">
        <f>('Thurs (2)'!O32+Thurs!O32+'Tues '!O32+Wed!O32+Fri!O32+'Mon '!O32+'Wed (2)'!O32+Sun!O32+Sat!O32)</f>
        <v>0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0</v>
      </c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>
        <f>('Thurs (2)'!G33+Thurs!G33+'Tues '!G33+Wed!G33+Fri!G33+'Mon '!G33+'Wed (2)'!G33+Sun!G33+Sat!G33)</f>
        <v>2</v>
      </c>
      <c r="H33" s="66">
        <f>('Thurs (2)'!H33+Thurs!H33+'Tues '!H33+Wed!H33+Fri!H33+'Mon '!H33+'Wed (2)'!H33+Sun!H33+Sat!H33)</f>
        <v>1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0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1</v>
      </c>
      <c r="M33" s="66">
        <f>('Thurs (2)'!M33+Thurs!M33+'Tues '!M33+Wed!M33+Fri!M33+'Mon '!M33+'Wed (2)'!M33+Sun!M33+Sat!M33)</f>
        <v>8</v>
      </c>
      <c r="N33" s="66">
        <f>('Thurs (2)'!N33+Thurs!N33+'Tues '!N33+Wed!N33+Fri!N33+'Mon '!N33+'Wed (2)'!N33+Sun!N33+Sat!N33)</f>
        <v>1</v>
      </c>
      <c r="O33" s="66">
        <f>('Thurs (2)'!O33+Thurs!O33+'Tues '!O33+Wed!O33+Fri!O33+'Mon '!O33+'Wed (2)'!O33+Sun!O33+Sat!O33)</f>
        <v>1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0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1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>
        <f>('Thurs (2)'!G34+Thurs!G34+'Tues '!G34+Wed!G34+Fri!G34+'Mon '!G34+'Wed (2)'!G34+Sun!G34+Sat!G34)</f>
        <v>3</v>
      </c>
      <c r="H34" s="66">
        <f>('Thurs (2)'!H34+Thurs!H34+'Tues '!H34+Wed!H34+Fri!H34+'Mon '!H34+'Wed (2)'!H34+Sun!H34+Sat!H34)</f>
        <v>1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1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4</v>
      </c>
      <c r="N34" s="66">
        <f>('Thurs (2)'!N34+Thurs!N34+'Tues '!N34+Wed!N34+Fri!N34+'Mon '!N34+'Wed (2)'!N34+Sun!N34+Sat!N34)</f>
        <v>1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0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0.3333333333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2</v>
      </c>
      <c r="H35" s="66">
        <f>('Thurs (2)'!H35+Thurs!H35+'Tues '!H35+Wed!H35+Fri!H35+'Mon '!H35+'Wed (2)'!H35+Sun!H35+Sat!H35)</f>
        <v>1</v>
      </c>
      <c r="I35" s="66">
        <f>('Thurs (2)'!I35+Thurs!I35+'Tues '!I35+Wed!I35+Fri!I35+'Mon '!I35+'Wed (2)'!I35+Sun!I35+Sat!I35)</f>
        <v>0</v>
      </c>
      <c r="J35" s="66">
        <f>('Thurs (2)'!J35+Thurs!J35+'Tues '!J35+Wed!J35+Fri!J35+'Mon '!J35+'Wed (2)'!J35+Sun!J35+Sat!J35)</f>
        <v>0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0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1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0</v>
      </c>
      <c r="U35" s="67">
        <f t="shared" si="2"/>
        <v>0</v>
      </c>
      <c r="V35" s="67">
        <f t="shared" si="3"/>
        <v>0.5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0</v>
      </c>
      <c r="H36" s="66">
        <f>('Thurs (2)'!H36+Thurs!H36+'Tues '!H36+Wed!H36+Fri!H36+'Mon '!H36+'Wed (2)'!H36+Sun!H36+Sat!H36)</f>
        <v>0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4</v>
      </c>
      <c r="H37" s="66">
        <f>('Thurs (2)'!H37+Thurs!H37+'Tues '!H37+Wed!H37+Fri!H37+'Mon '!H37+'Wed (2)'!H37+Sun!H37+Sat!H37)</f>
        <v>4</v>
      </c>
      <c r="I37" s="66">
        <f>('Thurs (2)'!I37+Thurs!I37+'Tues '!I37+Wed!I37+Fri!I37+'Mon '!I37+'Wed (2)'!I37+Sun!I37+Sat!I37)</f>
        <v>1</v>
      </c>
      <c r="J37" s="66">
        <f>('Thurs (2)'!J37+Thurs!J37+'Tues '!J37+Wed!J37+Fri!J37+'Mon '!J37+'Wed (2)'!J37+Sun!J37+Sat!J37)</f>
        <v>2</v>
      </c>
      <c r="K37" s="66">
        <f>('Thurs (2)'!K37+Thurs!K37+'Tues '!K37+Wed!K37+Fri!K37+'Mon '!K37+'Wed (2)'!K37+Sun!K37+Sat!K37)</f>
        <v>1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8</v>
      </c>
      <c r="N37" s="66">
        <f>('Thurs (2)'!N37+Thurs!N37+'Tues '!N37+Wed!N37+Fri!N37+'Mon '!N37+'Wed (2)'!N37+Sun!N37+Sat!N37)</f>
        <v>2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2</v>
      </c>
      <c r="S37" s="66">
        <f>('Thurs (2)'!S37+Thurs!S37+'Tues '!S37+Wed!S37+Fri!S37+'Mon '!S37+'Wed (2)'!S37+Sun!S37+Sat!S37)</f>
        <v>1</v>
      </c>
      <c r="T37" s="66">
        <f>('Thurs (2)'!T37+Thurs!T37+'Tues '!T37+Wed!T37+Fri!T37+'Mon '!T37+'Wed (2)'!T37+Sun!T37+Sat!T37)</f>
        <v>600</v>
      </c>
      <c r="U37" s="67">
        <f t="shared" si="2"/>
        <v>0.25</v>
      </c>
      <c r="V37" s="67">
        <f t="shared" si="3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>
        <f>('Thurs (2)'!G38+Thurs!G38+'Tues '!G38+Wed!G38+Fri!G38+'Mon '!G38+'Wed (2)'!G38+Sun!G38+Sat!G38)</f>
        <v>2</v>
      </c>
      <c r="H38" s="66">
        <f>('Thurs (2)'!H38+Thurs!H38+'Tues '!H38+Wed!H38+Fri!H38+'Mon '!H38+'Wed (2)'!H38+Sun!H38+Sat!H38)</f>
        <v>1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0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1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0.5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>
        <f>('Thurs (2)'!G40+Thurs!G40+'Tues '!G40+Wed!G40+Fri!G40+'Mon '!G40+'Wed (2)'!G40+Sun!G40+Sat!G40)</f>
        <v>12</v>
      </c>
      <c r="H40" s="66">
        <f>('Thurs (2)'!H40+Thurs!H40+'Tues '!H40+Wed!H40+Fri!H40+'Mon '!H40+'Wed (2)'!H40+Sun!H40+Sat!H40)</f>
        <v>4</v>
      </c>
      <c r="I40" s="66">
        <f>('Thurs (2)'!I40+Thurs!I40+'Tues '!I40+Wed!I40+Fri!I40+'Mon '!I40+'Wed (2)'!I40+Sun!I40+Sat!I40)</f>
        <v>1</v>
      </c>
      <c r="J40" s="66">
        <f>('Thurs (2)'!J40+Thurs!J40+'Tues '!J40+Wed!J40+Fri!J40+'Mon '!J40+'Wed (2)'!J40+Sun!J40+Sat!J40)</f>
        <v>1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10</v>
      </c>
      <c r="N40" s="66">
        <f>('Thurs (2)'!N40+Thurs!N40+'Tues '!N40+Wed!N40+Fri!N40+'Mon '!N40+'Wed (2)'!N40+Sun!N40+Sat!N40)</f>
        <v>6</v>
      </c>
      <c r="O40" s="66">
        <f>('Thurs (2)'!O40+Thurs!O40+'Tues '!O40+Wed!O40+Fri!O40+'Mon '!O40+'Wed (2)'!O40+Sun!O40+Sat!O40)</f>
        <v>1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1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1220</v>
      </c>
      <c r="U40" s="67">
        <f t="shared" si="2"/>
        <v>0.25</v>
      </c>
      <c r="V40" s="67">
        <f t="shared" si="3"/>
        <v>0.3333333333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>
        <f>('Thurs (2)'!G41+Thurs!G41+'Tues '!G41+Wed!G41+Fri!G41+'Mon '!G41+'Wed (2)'!G41+Sun!G41+Sat!G41)</f>
        <v>1</v>
      </c>
      <c r="H41" s="66">
        <f>('Thurs (2)'!H41+Thurs!H41+'Tues '!H41+Wed!H41+Fri!H41+'Mon '!H41+'Wed (2)'!H41+Sun!H41+Sat!H41)</f>
        <v>1</v>
      </c>
      <c r="I41" s="66">
        <f>('Thurs (2)'!I41+Thurs!I41+'Tues '!I41+Wed!I41+Fri!I41+'Mon '!I41+'Wed (2)'!I41+Sun!I41+Sat!I41)</f>
        <v>1</v>
      </c>
      <c r="J41" s="66">
        <f>('Thurs (2)'!J41+Thurs!J41+'Tues '!J41+Wed!J41+Fri!J41+'Mon '!J41+'Wed (2)'!J41+Sun!J41+Sat!J41)</f>
        <v>1</v>
      </c>
      <c r="K41" s="66">
        <f>('Thurs (2)'!K41+Thurs!K41+'Tues '!K41+Wed!K41+Fri!K41+'Mon '!K41+'Wed (2)'!K41+Sun!K41+Sat!K41)</f>
        <v>1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1</v>
      </c>
      <c r="O41" s="66">
        <f>('Thurs (2)'!O41+Thurs!O41+'Tues '!O41+Wed!O41+Fri!O41+'Mon '!O41+'Wed (2)'!O41+Sun!O41+Sat!O41)</f>
        <v>1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214</v>
      </c>
      <c r="U41" s="67">
        <f t="shared" si="2"/>
        <v>1</v>
      </c>
      <c r="V41" s="67">
        <f t="shared" si="3"/>
        <v>1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>
        <f>('Thurs (2)'!G43+Thurs!G43+'Tues '!G43+Wed!G43+Fri!G43+'Mon '!G43+'Wed (2)'!G43+Sun!G43+Sat!G43)</f>
        <v>0</v>
      </c>
      <c r="H43" s="66">
        <f>('Thurs (2)'!H43+Thurs!H43+'Tues '!H43+Wed!H43+Fri!H43+'Mon '!H43+'Wed (2)'!H43+Sun!H43+Sat!H43)</f>
        <v>0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0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0</v>
      </c>
      <c r="N43" s="66">
        <f>('Thurs (2)'!N43+Thurs!N43+'Tues '!N43+Wed!N43+Fri!N43+'Mon '!N43+'Wed (2)'!N43+Sun!N43+Sat!N43)</f>
        <v>0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0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5145</v>
      </c>
      <c r="D2" s="9"/>
      <c r="E2" s="8">
        <f t="shared" ref="E2:R2" si="1">SUM(E5)</f>
        <v>0</v>
      </c>
      <c r="F2" s="8">
        <f t="shared" si="1"/>
        <v>12</v>
      </c>
      <c r="G2" s="10">
        <f t="shared" si="1"/>
        <v>7</v>
      </c>
      <c r="H2" s="10">
        <f t="shared" si="1"/>
        <v>4</v>
      </c>
      <c r="I2" s="10">
        <f t="shared" si="1"/>
        <v>1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13</v>
      </c>
      <c r="N2" s="10">
        <f t="shared" si="1"/>
        <v>5</v>
      </c>
      <c r="O2" s="10">
        <f t="shared" si="1"/>
        <v>4</v>
      </c>
      <c r="P2" s="10">
        <f t="shared" si="1"/>
        <v>4</v>
      </c>
      <c r="Q2" s="10">
        <f t="shared" si="1"/>
        <v>4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1286.25</v>
      </c>
      <c r="F4" s="20">
        <f>IFERROR((G2+R2)/F2,0)</f>
        <v>0.5833333333</v>
      </c>
      <c r="G4" s="20">
        <f>IFERROR(H2/G2,0)</f>
        <v>0.5714285714</v>
      </c>
      <c r="H4" s="19">
        <f>(C2/C4)</f>
        <v>190.5555556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1.857142857</v>
      </c>
      <c r="N4" s="21"/>
      <c r="O4" s="20">
        <f>IFERROR(O2/N2,0)</f>
        <v>0.8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5145</v>
      </c>
      <c r="D5" s="26"/>
      <c r="E5" s="27">
        <f>SUMIFS(T:T,A:A,B5,D:D,"Y")</f>
        <v>0</v>
      </c>
      <c r="F5" s="8">
        <f>SUMIF(A:A,B5,G:G)</f>
        <v>12</v>
      </c>
      <c r="G5" s="10">
        <f>SUMIF(A:A,B5,H:H)</f>
        <v>7</v>
      </c>
      <c r="H5" s="10">
        <f>SUMIF(A:A,B5,I:I)</f>
        <v>4</v>
      </c>
      <c r="I5" s="10">
        <f>SUMIF(A:A,B5,P:P)</f>
        <v>1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13</v>
      </c>
      <c r="N5" s="10">
        <f>SUMIF(A:A,B5,N:N)</f>
        <v>5</v>
      </c>
      <c r="O5" s="10">
        <f>SUMIF(A:A,B5,O:O)</f>
        <v>4</v>
      </c>
      <c r="P5" s="10">
        <f>SUMIF(A:A,B5,J:J)</f>
        <v>4</v>
      </c>
      <c r="Q5" s="10">
        <f>SUMIF(A:A,B5,K:K)</f>
        <v>4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1286.25</v>
      </c>
      <c r="F7" s="20">
        <f>IFERROR((G5+R5)/F5,0)</f>
        <v>0.5833333333</v>
      </c>
      <c r="G7" s="20">
        <f>IFERROR(H5/G5,0)</f>
        <v>0.5714285714</v>
      </c>
      <c r="H7" s="19">
        <f>(C5/C7)</f>
        <v>190.5555556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1.857142857</v>
      </c>
      <c r="N7" s="21"/>
      <c r="O7" s="20">
        <f>IFERROR(O5/N5,0)</f>
        <v>0.8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5145</v>
      </c>
      <c r="D8" s="36"/>
      <c r="E8" s="37">
        <f>SUMIFS(T:T,B:B,B8,D:D,"Y")</f>
        <v>0</v>
      </c>
      <c r="F8" s="38">
        <f>SUMIF(B16:B1129,B8,G16:G1129)</f>
        <v>12</v>
      </c>
      <c r="G8" s="39">
        <f>SUMIF(B16:B1129,B8,H16:H1129)</f>
        <v>7</v>
      </c>
      <c r="H8" s="38">
        <f>SUMIF(B16:B1129,B8,I16:I1129)</f>
        <v>4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13</v>
      </c>
      <c r="N8" s="39">
        <f>SUMIF(B16:B1129,B8,N16:N1129)</f>
        <v>5</v>
      </c>
      <c r="O8" s="38">
        <f>SUMIF(B16:B1129,B8,O16:O1129)</f>
        <v>4</v>
      </c>
      <c r="P8" s="39">
        <f>SUMIF(B16:B1129,B8,J16:J1129)</f>
        <v>4</v>
      </c>
      <c r="Q8" s="39">
        <f>SUMIF(B16:B1129,B8,K16:K1129)</f>
        <v>4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1286.25</v>
      </c>
      <c r="F10" s="51">
        <f>IFERROR((G8+R8)/F8,0)</f>
        <v>0.5833333333</v>
      </c>
      <c r="G10" s="51">
        <f>IFERROR(H8/G8,0)</f>
        <v>0.5714285714</v>
      </c>
      <c r="H10" s="50">
        <f>(C8/C10)</f>
        <v>214.375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1.857142857</v>
      </c>
      <c r="N10" s="46"/>
      <c r="O10" s="51">
        <f>IFERROR(O8/N8,0)</f>
        <v>0.8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6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2.0</v>
      </c>
      <c r="I23" s="133">
        <v>2.0</v>
      </c>
      <c r="J23" s="133">
        <v>2.0</v>
      </c>
      <c r="K23" s="133">
        <v>2.0</v>
      </c>
      <c r="L23" s="133">
        <v>0.0</v>
      </c>
      <c r="M23" s="133">
        <v>0.0</v>
      </c>
      <c r="N23" s="133">
        <v>1.0</v>
      </c>
      <c r="O23" s="133">
        <v>1.0</v>
      </c>
      <c r="P23" s="133">
        <v>0.0</v>
      </c>
      <c r="Q23" s="133">
        <v>0.0</v>
      </c>
      <c r="R23" s="133">
        <v>1.0</v>
      </c>
      <c r="S23" s="133">
        <v>1.0</v>
      </c>
      <c r="T23" s="133">
        <v>3923.0</v>
      </c>
      <c r="U23" s="67">
        <f t="shared" si="2"/>
        <v>1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4.0</v>
      </c>
      <c r="H27" s="133">
        <v>0.0</v>
      </c>
      <c r="I27" s="133">
        <v>0.0</v>
      </c>
      <c r="J27" s="133">
        <v>0.0</v>
      </c>
      <c r="K27" s="133">
        <v>0.0</v>
      </c>
      <c r="L27" s="133">
        <v>0.0</v>
      </c>
      <c r="M27" s="133">
        <v>0.0</v>
      </c>
      <c r="N27" s="133">
        <v>0.0</v>
      </c>
      <c r="O27" s="133">
        <v>0.0</v>
      </c>
      <c r="P27" s="133">
        <v>0.0</v>
      </c>
      <c r="Q27" s="133">
        <v>0.0</v>
      </c>
      <c r="R27" s="133">
        <v>0.0</v>
      </c>
      <c r="S27" s="133">
        <v>0.0</v>
      </c>
      <c r="T27" s="133">
        <v>0.0</v>
      </c>
      <c r="U27" s="134">
        <v>0.0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>IFERROR(I29/H29,0)</f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1.0</v>
      </c>
      <c r="H31" s="133">
        <v>1.0</v>
      </c>
      <c r="I31" s="133">
        <v>1.0</v>
      </c>
      <c r="J31" s="133">
        <v>1.0</v>
      </c>
      <c r="K31" s="133">
        <v>1.0</v>
      </c>
      <c r="L31" s="133">
        <v>0.0</v>
      </c>
      <c r="M31" s="133">
        <v>3.0</v>
      </c>
      <c r="N31" s="133">
        <v>1.0</v>
      </c>
      <c r="O31" s="133">
        <v>1.0</v>
      </c>
      <c r="P31" s="133">
        <v>0.0</v>
      </c>
      <c r="Q31" s="133">
        <v>0.0</v>
      </c>
      <c r="R31" s="133">
        <v>0.0</v>
      </c>
      <c r="S31" s="133">
        <v>0.0</v>
      </c>
      <c r="T31" s="133">
        <v>1008.0</v>
      </c>
      <c r="U31" s="67">
        <f t="shared" ref="U31:U32" si="4">IFERROR(I31/H31,0)</f>
        <v>1</v>
      </c>
      <c r="V31" s="67">
        <f t="shared" si="3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si="4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1.0</v>
      </c>
      <c r="H33" s="133">
        <v>1.0</v>
      </c>
      <c r="I33" s="133">
        <v>0.0</v>
      </c>
      <c r="J33" s="133">
        <v>0.0</v>
      </c>
      <c r="K33" s="133">
        <v>0.0</v>
      </c>
      <c r="L33" s="133">
        <v>0.0</v>
      </c>
      <c r="M33" s="133">
        <v>8.0</v>
      </c>
      <c r="N33" s="133">
        <v>1.0</v>
      </c>
      <c r="O33" s="133">
        <v>1.0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si="3"/>
        <v>1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2.0</v>
      </c>
      <c r="H35" s="133">
        <v>1.0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1.0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3" si="5">IFERROR(I35/H35,0)</f>
        <v>0</v>
      </c>
      <c r="V35" s="67">
        <f t="shared" si="3"/>
        <v>0.5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5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1.0</v>
      </c>
      <c r="H37" s="133">
        <v>1.0</v>
      </c>
      <c r="I37" s="133">
        <v>0.0</v>
      </c>
      <c r="J37" s="133">
        <v>0.0</v>
      </c>
      <c r="K37" s="133">
        <v>0.0</v>
      </c>
      <c r="L37" s="133">
        <v>0.0</v>
      </c>
      <c r="M37" s="133">
        <v>2.0</v>
      </c>
      <c r="N37" s="133">
        <v>1.0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66"/>
      <c r="U37" s="67">
        <f t="shared" si="5"/>
        <v>0</v>
      </c>
      <c r="V37" s="67">
        <f t="shared" si="3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5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5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2.0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5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133">
        <v>1.0</v>
      </c>
      <c r="H41" s="133">
        <v>1.0</v>
      </c>
      <c r="I41" s="133">
        <v>1.0</v>
      </c>
      <c r="J41" s="133">
        <v>1.0</v>
      </c>
      <c r="K41" s="133">
        <v>1.0</v>
      </c>
      <c r="L41" s="133">
        <v>0.0</v>
      </c>
      <c r="M41" s="133">
        <v>0.0</v>
      </c>
      <c r="N41" s="133">
        <v>1.0</v>
      </c>
      <c r="O41" s="133">
        <v>1.0</v>
      </c>
      <c r="P41" s="133">
        <v>0.0</v>
      </c>
      <c r="Q41" s="133">
        <v>0.0</v>
      </c>
      <c r="R41" s="133">
        <v>0.0</v>
      </c>
      <c r="S41" s="133">
        <v>0.0</v>
      </c>
      <c r="T41" s="133">
        <v>214.0</v>
      </c>
      <c r="U41" s="67">
        <f t="shared" si="5"/>
        <v>1</v>
      </c>
      <c r="V41" s="67">
        <f t="shared" si="3"/>
        <v>1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5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1603</v>
      </c>
      <c r="D2" s="9"/>
      <c r="E2" s="8">
        <f t="shared" ref="E2:R2" si="1">SUM(E5)</f>
        <v>0</v>
      </c>
      <c r="F2" s="8">
        <f t="shared" si="1"/>
        <v>20</v>
      </c>
      <c r="G2" s="10">
        <f t="shared" si="1"/>
        <v>8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4</v>
      </c>
      <c r="L2" s="10">
        <f t="shared" si="1"/>
        <v>0</v>
      </c>
      <c r="M2" s="10">
        <f t="shared" si="1"/>
        <v>14</v>
      </c>
      <c r="N2" s="10">
        <f t="shared" si="1"/>
        <v>7</v>
      </c>
      <c r="O2" s="10">
        <f t="shared" si="1"/>
        <v>1</v>
      </c>
      <c r="P2" s="10">
        <f t="shared" si="1"/>
        <v>5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1603</v>
      </c>
      <c r="F4" s="20">
        <f>IFERROR((G2+R2)/F2,0)</f>
        <v>0.4</v>
      </c>
      <c r="G4" s="20">
        <f>IFERROR(H2/G2,0)</f>
        <v>0.125</v>
      </c>
      <c r="H4" s="19">
        <f>(C2/C4)</f>
        <v>59.37037037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1.75</v>
      </c>
      <c r="N4" s="21"/>
      <c r="O4" s="20">
        <f>IFERROR(O2/N2,0)</f>
        <v>0.1428571429</v>
      </c>
      <c r="P4" s="22"/>
      <c r="Q4" s="20">
        <f>IFERROR(Q2/P2,0)</f>
        <v>0.2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1603</v>
      </c>
      <c r="D5" s="26"/>
      <c r="E5" s="27">
        <f>SUMIFS(T:T,A:A,B5,D:D,"Y")</f>
        <v>0</v>
      </c>
      <c r="F5" s="8">
        <f>SUMIF(A:A,B5,G:G)</f>
        <v>20</v>
      </c>
      <c r="G5" s="10">
        <f>SUMIF(A:A,B5,H:H)</f>
        <v>8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4</v>
      </c>
      <c r="L5" s="10">
        <f>SUMIF(A:A,B5,S:S)</f>
        <v>0</v>
      </c>
      <c r="M5" s="10">
        <f>SUMIF(A:A,B5,M:M)</f>
        <v>14</v>
      </c>
      <c r="N5" s="10">
        <f>SUMIF(A:A,B5,N:N)</f>
        <v>7</v>
      </c>
      <c r="O5" s="10">
        <f>SUMIF(A:A,B5,O:O)</f>
        <v>1</v>
      </c>
      <c r="P5" s="10">
        <f>SUMIF(A:A,B5,J:J)</f>
        <v>5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1603</v>
      </c>
      <c r="F7" s="20">
        <f>IFERROR((G5+R5)/F5,0)</f>
        <v>0.4</v>
      </c>
      <c r="G7" s="20">
        <f>IFERROR(H5/G5,0)</f>
        <v>0.125</v>
      </c>
      <c r="H7" s="19">
        <f>(C5/C7)</f>
        <v>59.37037037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1.75</v>
      </c>
      <c r="N7" s="21"/>
      <c r="O7" s="20">
        <f>IFERROR(O5/N5,0)</f>
        <v>0.1428571429</v>
      </c>
      <c r="P7" s="22"/>
      <c r="Q7" s="20">
        <f>IFERROR(Q5/P5,0)</f>
        <v>0.2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1603</v>
      </c>
      <c r="D8" s="36"/>
      <c r="E8" s="37">
        <f>SUMIFS(T:T,B:B,B8,D:D,"Y")</f>
        <v>0</v>
      </c>
      <c r="F8" s="38">
        <f>SUMIF(B16:B1129,B8,G16:G1129)</f>
        <v>20</v>
      </c>
      <c r="G8" s="39">
        <f>SUMIF(B16:B1129,B8,H16:H1129)</f>
        <v>8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4</v>
      </c>
      <c r="L8" s="39">
        <f>SUMIF(B16:B1129,B8,S16:S1129)</f>
        <v>0</v>
      </c>
      <c r="M8" s="39">
        <f>SUMIF(B16:B1129,B8,M16:M1129)</f>
        <v>14</v>
      </c>
      <c r="N8" s="39">
        <f>SUMIF(B16:B1129,B8,N16:N1129)</f>
        <v>7</v>
      </c>
      <c r="O8" s="38">
        <f>SUMIF(B16:B1129,B8,O16:O1129)</f>
        <v>1</v>
      </c>
      <c r="P8" s="39">
        <f>SUMIF(B16:B1129,B8,J16:J1129)</f>
        <v>5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1603</v>
      </c>
      <c r="F10" s="51">
        <f>IFERROR((G8+R8)/F8,0)</f>
        <v>0.4</v>
      </c>
      <c r="G10" s="51">
        <f>IFERROR(H8/G8,0)</f>
        <v>0.125</v>
      </c>
      <c r="H10" s="50">
        <f>(C8/C10)</f>
        <v>66.79166667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1.75</v>
      </c>
      <c r="N10" s="46"/>
      <c r="O10" s="51">
        <f>IFERROR(O8/N8,0)</f>
        <v>0.1428571429</v>
      </c>
      <c r="P10" s="53"/>
      <c r="Q10" s="51">
        <f>IFERROR(Q8/P8,0)</f>
        <v>0.2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9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1.0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5.0</v>
      </c>
      <c r="H27" s="133">
        <v>1.0</v>
      </c>
      <c r="I27" s="133">
        <v>1.0</v>
      </c>
      <c r="J27" s="133">
        <v>1.0</v>
      </c>
      <c r="K27" s="133">
        <v>1.0</v>
      </c>
      <c r="L27" s="133">
        <v>0.0</v>
      </c>
      <c r="M27" s="133">
        <v>2.0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1603.0</v>
      </c>
      <c r="U27" s="67">
        <f t="shared" si="2"/>
        <v>1</v>
      </c>
      <c r="V27" s="67">
        <f t="shared" si="3"/>
        <v>0.2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5.0</v>
      </c>
      <c r="H29" s="133">
        <v>3.0</v>
      </c>
      <c r="I29" s="133">
        <v>0.0</v>
      </c>
      <c r="J29" s="133">
        <v>2.0</v>
      </c>
      <c r="K29" s="133">
        <v>0.0</v>
      </c>
      <c r="L29" s="133">
        <v>0.0</v>
      </c>
      <c r="M29" s="133">
        <v>8.0</v>
      </c>
      <c r="N29" s="133">
        <v>2.0</v>
      </c>
      <c r="O29" s="133">
        <v>0.0</v>
      </c>
      <c r="P29" s="133">
        <v>0.0</v>
      </c>
      <c r="Q29" s="133">
        <v>0.0</v>
      </c>
      <c r="R29" s="133">
        <v>1.0</v>
      </c>
      <c r="S29" s="133">
        <v>0.0</v>
      </c>
      <c r="T29" s="133">
        <v>0.0</v>
      </c>
      <c r="U29" s="67">
        <f t="shared" si="2"/>
        <v>0</v>
      </c>
      <c r="V29" s="67">
        <f t="shared" si="3"/>
        <v>0.6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2.0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>IFERROR(I31/H31,0)</f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66"/>
      <c r="U32" s="134">
        <v>0.0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1.0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ref="U34:U43" si="4">IFERROR(I34/H34,0)</f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4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4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2.0</v>
      </c>
      <c r="H37" s="133">
        <v>2.0</v>
      </c>
      <c r="I37" s="133">
        <v>0.0</v>
      </c>
      <c r="J37" s="133">
        <v>1.0</v>
      </c>
      <c r="K37" s="133">
        <v>0.0</v>
      </c>
      <c r="L37" s="133">
        <v>0.0</v>
      </c>
      <c r="M37" s="133">
        <v>1.0</v>
      </c>
      <c r="N37" s="133">
        <v>1.0</v>
      </c>
      <c r="O37" s="133">
        <v>0.0</v>
      </c>
      <c r="P37" s="133">
        <v>0.0</v>
      </c>
      <c r="Q37" s="133">
        <v>0.0</v>
      </c>
      <c r="R37" s="133">
        <v>1.0</v>
      </c>
      <c r="S37" s="133">
        <v>0.0</v>
      </c>
      <c r="T37" s="133">
        <v>0.0</v>
      </c>
      <c r="U37" s="67">
        <f t="shared" si="4"/>
        <v>0</v>
      </c>
      <c r="V37" s="67">
        <f t="shared" si="3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2.0</v>
      </c>
      <c r="H38" s="133">
        <v>1.0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1.0</v>
      </c>
      <c r="S38" s="133">
        <v>0.0</v>
      </c>
      <c r="T38" s="133">
        <v>0.0</v>
      </c>
      <c r="U38" s="67">
        <f t="shared" si="4"/>
        <v>0</v>
      </c>
      <c r="V38" s="67">
        <f t="shared" si="3"/>
        <v>0.5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4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2.0</v>
      </c>
      <c r="H40" s="133">
        <v>1.0</v>
      </c>
      <c r="I40" s="133">
        <v>0.0</v>
      </c>
      <c r="J40" s="133">
        <v>1.0</v>
      </c>
      <c r="K40" s="133">
        <v>0.0</v>
      </c>
      <c r="L40" s="133">
        <v>0.0</v>
      </c>
      <c r="M40" s="133">
        <v>3.0</v>
      </c>
      <c r="N40" s="133">
        <v>3.0</v>
      </c>
      <c r="O40" s="133">
        <v>0.0</v>
      </c>
      <c r="P40" s="133">
        <v>0.0</v>
      </c>
      <c r="Q40" s="133">
        <v>0.0</v>
      </c>
      <c r="R40" s="133">
        <v>1.0</v>
      </c>
      <c r="S40" s="133">
        <v>0.0</v>
      </c>
      <c r="T40" s="133">
        <v>0.0</v>
      </c>
      <c r="U40" s="67">
        <f t="shared" si="4"/>
        <v>0</v>
      </c>
      <c r="V40" s="67">
        <f t="shared" si="3"/>
        <v>0.5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4"/>
        <v>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4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4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1926</v>
      </c>
      <c r="D2" s="9"/>
      <c r="E2" s="8">
        <f t="shared" ref="E2:R2" si="1">SUM(E5)</f>
        <v>0</v>
      </c>
      <c r="F2" s="8">
        <f t="shared" si="1"/>
        <v>1</v>
      </c>
      <c r="G2" s="10">
        <f t="shared" si="1"/>
        <v>1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2</v>
      </c>
      <c r="N2" s="10">
        <f t="shared" si="1"/>
        <v>1</v>
      </c>
      <c r="O2" s="10">
        <f t="shared" si="1"/>
        <v>1</v>
      </c>
      <c r="P2" s="10">
        <f t="shared" si="1"/>
        <v>1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1926</v>
      </c>
      <c r="F4" s="20">
        <f>IFERROR((G2+R2)/F2,0)</f>
        <v>1</v>
      </c>
      <c r="G4" s="20">
        <f>IFERROR(H2/G2,0)</f>
        <v>1</v>
      </c>
      <c r="H4" s="19">
        <f>(C2/C4)</f>
        <v>71.33333333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1926</v>
      </c>
      <c r="D5" s="26"/>
      <c r="E5" s="27">
        <f>SUMIFS(T:T,A:A,B5,D:D,"Y")</f>
        <v>0</v>
      </c>
      <c r="F5" s="8">
        <f>SUMIF(A:A,B5,G:G)</f>
        <v>1</v>
      </c>
      <c r="G5" s="10">
        <f>SUMIF(A:A,B5,H:H)</f>
        <v>1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2</v>
      </c>
      <c r="N5" s="10">
        <f>SUMIF(A:A,B5,N:N)</f>
        <v>1</v>
      </c>
      <c r="O5" s="10">
        <f>SUMIF(A:A,B5,O:O)</f>
        <v>1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1926</v>
      </c>
      <c r="F7" s="20">
        <f>IFERROR((G5+R5)/F5,0)</f>
        <v>1</v>
      </c>
      <c r="G7" s="20">
        <f>IFERROR(H5/G5,0)</f>
        <v>1</v>
      </c>
      <c r="H7" s="19">
        <f>(C5/C7)</f>
        <v>71.33333333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1926</v>
      </c>
      <c r="D8" s="36"/>
      <c r="E8" s="37">
        <f>SUMIFS(T:T,B:B,B8,D:D,"Y")</f>
        <v>0</v>
      </c>
      <c r="F8" s="38">
        <f>SUMIF(B16:B1129,B8,G16:G1129)</f>
        <v>1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2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1926</v>
      </c>
      <c r="F10" s="51">
        <f>IFERROR((G8+R8)/F8,0)</f>
        <v>1</v>
      </c>
      <c r="G10" s="51">
        <f>IFERROR(H8/G8,0)</f>
        <v>1</v>
      </c>
      <c r="H10" s="50">
        <f>(C8/C10)</f>
        <v>80.25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9" si="2">IFERROR(I17/H17,0)</f>
        <v>0</v>
      </c>
      <c r="V17" s="67">
        <f t="shared" ref="V17:V2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1.0</v>
      </c>
      <c r="H27" s="133">
        <v>1.0</v>
      </c>
      <c r="I27" s="133">
        <v>1.0</v>
      </c>
      <c r="J27" s="133">
        <v>1.0</v>
      </c>
      <c r="K27" s="133">
        <v>1.0</v>
      </c>
      <c r="L27" s="133">
        <v>0.0</v>
      </c>
      <c r="M27" s="133">
        <v>2.0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1926.0</v>
      </c>
      <c r="U27" s="67">
        <f t="shared" si="2"/>
        <v>1</v>
      </c>
      <c r="V27" s="67">
        <f t="shared" si="3"/>
        <v>1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si="2"/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134">
        <v>0.0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ref="V31:V43" si="4">IFERROR(SUM(H31+L31)/G31,0)</f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ref="U32:U33" si="5">IFERROR(I32/H32,0)</f>
        <v>0</v>
      </c>
      <c r="V32" s="67">
        <f t="shared" si="4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5"/>
        <v>0</v>
      </c>
      <c r="V33" s="67">
        <f t="shared" si="4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4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3" si="6">IFERROR(I35/H35,0)</f>
        <v>0</v>
      </c>
      <c r="V35" s="67">
        <f t="shared" si="4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4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6"/>
        <v>0</v>
      </c>
      <c r="V37" s="67">
        <f t="shared" si="4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4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4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4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4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6"/>
        <v>0</v>
      </c>
      <c r="V42" s="67">
        <f t="shared" si="4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6"/>
        <v>0</v>
      </c>
      <c r="V43" s="67">
        <f t="shared" si="4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6" si="2">IFERROR(I17/H17,0)</f>
        <v>0</v>
      </c>
      <c r="V17" s="67">
        <f t="shared" ref="V17:V26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0.0</v>
      </c>
      <c r="H27" s="133">
        <v>0.0</v>
      </c>
      <c r="I27" s="133">
        <v>0.0</v>
      </c>
      <c r="J27" s="133">
        <v>0.0</v>
      </c>
      <c r="K27" s="133">
        <v>0.0</v>
      </c>
      <c r="L27" s="133">
        <v>0.0</v>
      </c>
      <c r="M27" s="133">
        <v>0.0</v>
      </c>
      <c r="N27" s="133">
        <v>0.0</v>
      </c>
      <c r="O27" s="133">
        <v>0.0</v>
      </c>
      <c r="P27" s="133">
        <v>0.0</v>
      </c>
      <c r="Q27" s="133">
        <v>0.0</v>
      </c>
      <c r="R27" s="133">
        <v>0.0</v>
      </c>
      <c r="S27" s="133">
        <v>0.0</v>
      </c>
      <c r="T27" s="133">
        <v>0.0</v>
      </c>
      <c r="U27" s="134">
        <v>0.0</v>
      </c>
      <c r="V27" s="134">
        <v>0.0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ref="U28:U30" si="4">IFERROR(I28/H28,0)</f>
        <v>0</v>
      </c>
      <c r="V28" s="67">
        <f t="shared" ref="V28:V43" si="5">IFERROR(SUM(H28+L28)/G28,0)</f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si="4"/>
        <v>0</v>
      </c>
      <c r="V29" s="67">
        <f t="shared" si="5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4"/>
        <v>0</v>
      </c>
      <c r="V30" s="67">
        <f t="shared" si="5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5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ref="U32:U33" si="6">IFERROR(I32/H32,0)</f>
        <v>0</v>
      </c>
      <c r="V32" s="67">
        <f t="shared" si="5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6"/>
        <v>0</v>
      </c>
      <c r="V33" s="67">
        <f t="shared" si="5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5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3" si="7">IFERROR(I35/H35,0)</f>
        <v>0</v>
      </c>
      <c r="V35" s="67">
        <f t="shared" si="5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7"/>
        <v>0</v>
      </c>
      <c r="V36" s="67">
        <f t="shared" si="5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7"/>
        <v>0</v>
      </c>
      <c r="V37" s="67">
        <f t="shared" si="5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7"/>
        <v>0</v>
      </c>
      <c r="V38" s="67">
        <f t="shared" si="5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7"/>
        <v>0</v>
      </c>
      <c r="V39" s="67">
        <f t="shared" si="5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7"/>
        <v>0</v>
      </c>
      <c r="V40" s="67">
        <f t="shared" si="5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7"/>
        <v>0</v>
      </c>
      <c r="V41" s="67">
        <f t="shared" si="5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67">
        <f t="shared" si="7"/>
        <v>0</v>
      </c>
      <c r="V42" s="67">
        <f t="shared" si="5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67">
        <f t="shared" si="7"/>
        <v>0</v>
      </c>
      <c r="V43" s="67">
        <f t="shared" si="5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4285</v>
      </c>
      <c r="D2" s="9"/>
      <c r="E2" s="8">
        <f t="shared" ref="E2:R2" si="1">SUM(E5)</f>
        <v>0</v>
      </c>
      <c r="F2" s="8">
        <f t="shared" si="1"/>
        <v>18</v>
      </c>
      <c r="G2" s="10">
        <f t="shared" si="1"/>
        <v>8</v>
      </c>
      <c r="H2" s="10">
        <f t="shared" si="1"/>
        <v>2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20</v>
      </c>
      <c r="N2" s="10">
        <f t="shared" si="1"/>
        <v>8</v>
      </c>
      <c r="O2" s="10">
        <f t="shared" si="1"/>
        <v>2</v>
      </c>
      <c r="P2" s="10">
        <f t="shared" si="1"/>
        <v>2</v>
      </c>
      <c r="Q2" s="10">
        <f t="shared" si="1"/>
        <v>2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2142.5</v>
      </c>
      <c r="F4" s="20">
        <f>IFERROR((G2+R2)/F2,0)</f>
        <v>0.4444444444</v>
      </c>
      <c r="G4" s="20">
        <f>IFERROR(H2/G2,0)</f>
        <v>0.25</v>
      </c>
      <c r="H4" s="19">
        <f>(C2/C4)</f>
        <v>158.7037037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2.5</v>
      </c>
      <c r="N4" s="21"/>
      <c r="O4" s="20">
        <f>IFERROR(O2/N2,0)</f>
        <v>0.25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4285</v>
      </c>
      <c r="D5" s="26"/>
      <c r="E5" s="27">
        <f>SUMIFS(T:T,A:A,B5,D:D,"Y")</f>
        <v>0</v>
      </c>
      <c r="F5" s="8">
        <f>SUMIF(A:A,B5,G:G)</f>
        <v>18</v>
      </c>
      <c r="G5" s="10">
        <f>SUMIF(A:A,B5,H:H)</f>
        <v>8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20</v>
      </c>
      <c r="N5" s="10">
        <f>SUMIF(A:A,B5,N:N)</f>
        <v>8</v>
      </c>
      <c r="O5" s="10">
        <f>SUMIF(A:A,B5,O:O)</f>
        <v>2</v>
      </c>
      <c r="P5" s="10">
        <f>SUMIF(A:A,B5,J:J)</f>
        <v>2</v>
      </c>
      <c r="Q5" s="10">
        <f>SUMIF(A:A,B5,K:K)</f>
        <v>2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2142.5</v>
      </c>
      <c r="F7" s="20">
        <f>IFERROR((G5+R5)/F5,0)</f>
        <v>0.4444444444</v>
      </c>
      <c r="G7" s="20">
        <f>IFERROR(H5/G5,0)</f>
        <v>0.25</v>
      </c>
      <c r="H7" s="19">
        <f>(C5/C7)</f>
        <v>158.7037037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2.5</v>
      </c>
      <c r="N7" s="21"/>
      <c r="O7" s="20">
        <f>IFERROR(O5/N5,0)</f>
        <v>0.25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4285</v>
      </c>
      <c r="D8" s="36"/>
      <c r="E8" s="37">
        <f>SUMIFS(T:T,B:B,B8,D:D,"Y")</f>
        <v>0</v>
      </c>
      <c r="F8" s="38">
        <f>SUMIF(B16:B1129,B8,G16:G1129)</f>
        <v>18</v>
      </c>
      <c r="G8" s="39">
        <f>SUMIF(B16:B1129,B8,H16:H1129)</f>
        <v>8</v>
      </c>
      <c r="H8" s="38">
        <f>SUMIF(B16:B1129,B8,I16:I1129)</f>
        <v>2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20</v>
      </c>
      <c r="N8" s="39">
        <f>SUMIF(B16:B1129,B8,N16:N1129)</f>
        <v>8</v>
      </c>
      <c r="O8" s="38">
        <f>SUMIF(B16:B1129,B8,O16:O1129)</f>
        <v>2</v>
      </c>
      <c r="P8" s="39">
        <f>SUMIF(B16:B1129,B8,J16:J1129)</f>
        <v>2</v>
      </c>
      <c r="Q8" s="39">
        <f>SUMIF(B16:B1129,B8,K16:K1129)</f>
        <v>2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2142.5</v>
      </c>
      <c r="F10" s="51">
        <f>IFERROR((G8+R8)/F8,0)</f>
        <v>0.4444444444</v>
      </c>
      <c r="G10" s="51">
        <f>IFERROR(H8/G8,0)</f>
        <v>0.25</v>
      </c>
      <c r="H10" s="50">
        <f>(C8/C10)</f>
        <v>178.5416667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2.5</v>
      </c>
      <c r="N10" s="46"/>
      <c r="O10" s="51">
        <f>IFERROR(O8/N8,0)</f>
        <v>0.25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11.0</v>
      </c>
      <c r="H27" s="133">
        <v>4.0</v>
      </c>
      <c r="I27" s="133">
        <v>2.0</v>
      </c>
      <c r="J27" s="133">
        <v>2.0</v>
      </c>
      <c r="K27" s="133">
        <v>2.0</v>
      </c>
      <c r="L27" s="133">
        <v>0.0</v>
      </c>
      <c r="M27" s="133">
        <v>8.0</v>
      </c>
      <c r="N27" s="133">
        <v>4.0</v>
      </c>
      <c r="O27" s="133">
        <v>2.0</v>
      </c>
      <c r="P27" s="133">
        <v>0.0</v>
      </c>
      <c r="Q27" s="133">
        <v>0.0</v>
      </c>
      <c r="R27" s="133">
        <v>0.0</v>
      </c>
      <c r="S27" s="133">
        <v>0.0</v>
      </c>
      <c r="T27" s="133">
        <v>4285.0</v>
      </c>
      <c r="U27" s="67">
        <f t="shared" si="2"/>
        <v>0.5</v>
      </c>
      <c r="V27" s="67">
        <f t="shared" si="3"/>
        <v>0.3636363636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>IFERROR(I29/H29,0)</f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4.0</v>
      </c>
      <c r="H30" s="133">
        <v>3.0</v>
      </c>
      <c r="I30" s="133">
        <v>0.0</v>
      </c>
      <c r="J30" s="133">
        <v>0.0</v>
      </c>
      <c r="K30" s="133">
        <v>0.0</v>
      </c>
      <c r="L30" s="133">
        <v>0.0</v>
      </c>
      <c r="M30" s="133">
        <v>8.0</v>
      </c>
      <c r="N30" s="133">
        <v>3.0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3"/>
        <v>0.75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>IFERROR(I31/H31,0)</f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134">
        <v>0.0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ref="U36:U43" si="4">IFERROR(I36/H36,0)</f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4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4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4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3.0</v>
      </c>
      <c r="H40" s="133">
        <v>1.0</v>
      </c>
      <c r="I40" s="133">
        <v>0.0</v>
      </c>
      <c r="J40" s="133">
        <v>0.0</v>
      </c>
      <c r="K40" s="133">
        <v>0.0</v>
      </c>
      <c r="L40" s="133">
        <v>0.0</v>
      </c>
      <c r="M40" s="133">
        <v>4.0</v>
      </c>
      <c r="N40" s="133">
        <v>1.0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4"/>
        <v>0</v>
      </c>
      <c r="V40" s="67">
        <f t="shared" si="3"/>
        <v>0.3333333333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4"/>
        <v>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4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4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5474</v>
      </c>
      <c r="D2" s="9"/>
      <c r="E2" s="8">
        <f t="shared" ref="E2:R2" si="1">SUM(E5)</f>
        <v>0</v>
      </c>
      <c r="F2" s="8">
        <f t="shared" si="1"/>
        <v>14</v>
      </c>
      <c r="G2" s="10">
        <f t="shared" si="1"/>
        <v>6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22</v>
      </c>
      <c r="N2" s="10">
        <f t="shared" si="1"/>
        <v>5</v>
      </c>
      <c r="O2" s="10">
        <f t="shared" si="1"/>
        <v>2</v>
      </c>
      <c r="P2" s="10">
        <f t="shared" si="1"/>
        <v>3</v>
      </c>
      <c r="Q2" s="10">
        <f t="shared" si="1"/>
        <v>3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1824.666667</v>
      </c>
      <c r="F4" s="20">
        <f>IFERROR((G2+R2)/F2,0)</f>
        <v>0.5</v>
      </c>
      <c r="G4" s="20">
        <f>IFERROR(H2/G2,0)</f>
        <v>0.5</v>
      </c>
      <c r="H4" s="19">
        <f>(C2/C4)</f>
        <v>202.7407407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3.666666667</v>
      </c>
      <c r="N4" s="21"/>
      <c r="O4" s="20">
        <f>IFERROR(O2/N2,0)</f>
        <v>0.4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5474</v>
      </c>
      <c r="D5" s="26"/>
      <c r="E5" s="27">
        <f>SUMIFS(T:T,A:A,B5,D:D,"Y")</f>
        <v>0</v>
      </c>
      <c r="F5" s="8">
        <f>SUMIF(A:A,B5,G:G)</f>
        <v>14</v>
      </c>
      <c r="G5" s="10">
        <f>SUMIF(A:A,B5,H:H)</f>
        <v>6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22</v>
      </c>
      <c r="N5" s="10">
        <f>SUMIF(A:A,B5,N:N)</f>
        <v>5</v>
      </c>
      <c r="O5" s="10">
        <f>SUMIF(A:A,B5,O:O)</f>
        <v>2</v>
      </c>
      <c r="P5" s="10">
        <f>SUMIF(A:A,B5,J:J)</f>
        <v>3</v>
      </c>
      <c r="Q5" s="10">
        <f>SUMIF(A:A,B5,K:K)</f>
        <v>3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1824.666667</v>
      </c>
      <c r="F7" s="20">
        <f>IFERROR((G5+R5)/F5,0)</f>
        <v>0.5</v>
      </c>
      <c r="G7" s="20">
        <f>IFERROR(H5/G5,0)</f>
        <v>0.5</v>
      </c>
      <c r="H7" s="19">
        <f>(C5/C7)</f>
        <v>202.7407407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3.142857143</v>
      </c>
      <c r="N7" s="21"/>
      <c r="O7" s="20">
        <f>IFERROR(O5/N5,0)</f>
        <v>0.4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5474</v>
      </c>
      <c r="D8" s="36"/>
      <c r="E8" s="37">
        <f>SUMIFS(T:T,B:B,B8,D:D,"Y")</f>
        <v>0</v>
      </c>
      <c r="F8" s="38">
        <f>SUMIF(B16:B1129,B8,G16:G1129)</f>
        <v>14</v>
      </c>
      <c r="G8" s="39">
        <f>SUMIF(B16:B1129,B8,H16:H1129)</f>
        <v>6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22</v>
      </c>
      <c r="N8" s="39">
        <f>SUMIF(B16:B1129,B8,N16:N1129)</f>
        <v>5</v>
      </c>
      <c r="O8" s="38">
        <f>SUMIF(B16:B1129,B8,O16:O1129)</f>
        <v>2</v>
      </c>
      <c r="P8" s="39">
        <f>SUMIF(B16:B1129,B8,J16:J1129)</f>
        <v>3</v>
      </c>
      <c r="Q8" s="39">
        <f>SUMIF(B16:B1129,B8,K16:K1129)</f>
        <v>3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1824.666667</v>
      </c>
      <c r="F10" s="51">
        <f>IFERROR((G8+R8)/F8,0)</f>
        <v>0.5</v>
      </c>
      <c r="G10" s="51">
        <f>IFERROR(H8/G8,0)</f>
        <v>0.5</v>
      </c>
      <c r="H10" s="50">
        <f>(C8/C10)</f>
        <v>228.0833333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3.142857143</v>
      </c>
      <c r="N10" s="46"/>
      <c r="O10" s="51">
        <f>IFERROR(O8/N8,0)</f>
        <v>0.4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8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6.0</v>
      </c>
      <c r="H27" s="133">
        <v>1.0</v>
      </c>
      <c r="I27" s="133">
        <v>1.0</v>
      </c>
      <c r="J27" s="133">
        <v>1.0</v>
      </c>
      <c r="K27" s="133">
        <v>1.0</v>
      </c>
      <c r="L27" s="133">
        <v>1.0</v>
      </c>
      <c r="M27" s="133">
        <v>4.0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2126.0</v>
      </c>
      <c r="U27" s="67">
        <f t="shared" si="2"/>
        <v>1</v>
      </c>
      <c r="V27" s="67">
        <f t="shared" si="3"/>
        <v>0.3333333333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5.0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134">
        <v>0.0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2.0</v>
      </c>
      <c r="H30" s="133">
        <v>2.0</v>
      </c>
      <c r="I30" s="133">
        <v>0.0</v>
      </c>
      <c r="J30" s="133">
        <v>0.0</v>
      </c>
      <c r="K30" s="133">
        <v>0.0</v>
      </c>
      <c r="L30" s="133">
        <v>0.0</v>
      </c>
      <c r="M30" s="133">
        <v>4.0</v>
      </c>
      <c r="N30" s="133">
        <v>2.0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ref="U30:U31" si="4">IFERROR(I30/H30,0)</f>
        <v>0</v>
      </c>
      <c r="V30" s="67">
        <f t="shared" ref="V30:V43" si="5">IFERROR(SUM(H30+L30)/G30,0)</f>
        <v>1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1.0</v>
      </c>
      <c r="H31" s="133">
        <v>1.0</v>
      </c>
      <c r="I31" s="133">
        <v>1.0</v>
      </c>
      <c r="J31" s="133">
        <v>1.0</v>
      </c>
      <c r="K31" s="133">
        <v>1.0</v>
      </c>
      <c r="L31" s="133">
        <v>0.0</v>
      </c>
      <c r="M31" s="133">
        <v>2.0</v>
      </c>
      <c r="N31" s="133">
        <v>1.0</v>
      </c>
      <c r="O31" s="133">
        <v>1.0</v>
      </c>
      <c r="P31" s="133">
        <v>0.0</v>
      </c>
      <c r="Q31" s="133">
        <v>0.0</v>
      </c>
      <c r="R31" s="133">
        <v>0.0</v>
      </c>
      <c r="S31" s="133">
        <v>0.0</v>
      </c>
      <c r="T31" s="133">
        <v>2748.0</v>
      </c>
      <c r="U31" s="67">
        <f t="shared" si="4"/>
        <v>1</v>
      </c>
      <c r="V31" s="67">
        <f t="shared" si="5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5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si="5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5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3" si="6">IFERROR(I35/H35,0)</f>
        <v>0</v>
      </c>
      <c r="V35" s="67">
        <f t="shared" si="5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66"/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5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1.0</v>
      </c>
      <c r="H37" s="133">
        <v>1.0</v>
      </c>
      <c r="I37" s="133">
        <v>1.0</v>
      </c>
      <c r="J37" s="133">
        <v>1.0</v>
      </c>
      <c r="K37" s="133">
        <v>1.0</v>
      </c>
      <c r="L37" s="133">
        <v>0.0</v>
      </c>
      <c r="M37" s="133">
        <v>5.0</v>
      </c>
      <c r="N37" s="133">
        <v>0.0</v>
      </c>
      <c r="O37" s="133">
        <v>0.0</v>
      </c>
      <c r="P37" s="133">
        <v>0.0</v>
      </c>
      <c r="Q37" s="133">
        <v>0.0</v>
      </c>
      <c r="R37" s="133">
        <v>1.0</v>
      </c>
      <c r="S37" s="133">
        <v>1.0</v>
      </c>
      <c r="T37" s="133">
        <v>600.0</v>
      </c>
      <c r="U37" s="67">
        <f t="shared" si="6"/>
        <v>1</v>
      </c>
      <c r="V37" s="67">
        <f t="shared" si="5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5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5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4.0</v>
      </c>
      <c r="H40" s="133">
        <v>1.0</v>
      </c>
      <c r="I40" s="133">
        <v>0.0</v>
      </c>
      <c r="J40" s="133">
        <v>0.0</v>
      </c>
      <c r="K40" s="133">
        <v>0.0</v>
      </c>
      <c r="L40" s="133">
        <v>0.0</v>
      </c>
      <c r="M40" s="133">
        <v>2.0</v>
      </c>
      <c r="N40" s="133">
        <v>1.0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5"/>
        <v>0.25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5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6"/>
        <v>0</v>
      </c>
      <c r="V42" s="67">
        <f t="shared" si="5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6"/>
        <v>0</v>
      </c>
      <c r="V43" s="67">
        <f t="shared" si="5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4430</v>
      </c>
      <c r="D2" s="9"/>
      <c r="E2" s="8">
        <f t="shared" ref="E2:R2" si="1">SUM(E5)</f>
        <v>0</v>
      </c>
      <c r="F2" s="8">
        <f t="shared" si="1"/>
        <v>16</v>
      </c>
      <c r="G2" s="10">
        <f t="shared" si="1"/>
        <v>4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11</v>
      </c>
      <c r="N2" s="10">
        <f t="shared" si="1"/>
        <v>4</v>
      </c>
      <c r="O2" s="10">
        <f t="shared" si="1"/>
        <v>3</v>
      </c>
      <c r="P2" s="10">
        <f t="shared" si="1"/>
        <v>2</v>
      </c>
      <c r="Q2" s="10">
        <f t="shared" si="1"/>
        <v>1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1476.666667</v>
      </c>
      <c r="F4" s="20">
        <f>IFERROR((G2+R2)/F2,0)</f>
        <v>0.4375</v>
      </c>
      <c r="G4" s="20">
        <f>IFERROR(H2/G2,0)</f>
        <v>0.75</v>
      </c>
      <c r="H4" s="19">
        <f>(C2/C4)</f>
        <v>164.0740741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2.75</v>
      </c>
      <c r="N4" s="21"/>
      <c r="O4" s="20">
        <f>IFERROR(O2/N2,0)</f>
        <v>0.75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4430</v>
      </c>
      <c r="D5" s="26"/>
      <c r="E5" s="27">
        <f>SUMIFS(T:T,A:A,B5,D:D,"Y")</f>
        <v>0</v>
      </c>
      <c r="F5" s="8">
        <f>SUMIF(A:A,B5,G:G)</f>
        <v>16</v>
      </c>
      <c r="G5" s="10">
        <f>SUMIF(A:A,B5,H:H)</f>
        <v>4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11</v>
      </c>
      <c r="N5" s="10">
        <f>SUMIF(A:A,B5,N:N)</f>
        <v>4</v>
      </c>
      <c r="O5" s="10">
        <f>SUMIF(A:A,B5,O:O)</f>
        <v>3</v>
      </c>
      <c r="P5" s="10">
        <f>SUMIF(A:A,B5,J:J)</f>
        <v>2</v>
      </c>
      <c r="Q5" s="10">
        <f>SUMIF(A:A,B5,K:K)</f>
        <v>1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1476.666667</v>
      </c>
      <c r="F7" s="20">
        <f>IFERROR((G5+R5)/F5,0)</f>
        <v>0.4375</v>
      </c>
      <c r="G7" s="20">
        <f>IFERROR(H5/G5,0)</f>
        <v>0.75</v>
      </c>
      <c r="H7" s="19">
        <f>(C5/C7)</f>
        <v>164.0740741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1.571428571</v>
      </c>
      <c r="N7" s="21"/>
      <c r="O7" s="20">
        <f>IFERROR(O5/N5,0)</f>
        <v>0.75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4430</v>
      </c>
      <c r="D8" s="36"/>
      <c r="E8" s="37">
        <f>SUMIFS(T:T,B:B,B8,D:D,"Y")</f>
        <v>0</v>
      </c>
      <c r="F8" s="38">
        <f>SUMIF(B16:B1129,B8,G16:G1129)</f>
        <v>16</v>
      </c>
      <c r="G8" s="39">
        <f>SUMIF(B16:B1129,B8,H16:H1129)</f>
        <v>4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11</v>
      </c>
      <c r="N8" s="39">
        <f>SUMIF(B16:B1129,B8,N16:N1129)</f>
        <v>4</v>
      </c>
      <c r="O8" s="38">
        <f>SUMIF(B16:B1129,B8,O16:O1129)</f>
        <v>3</v>
      </c>
      <c r="P8" s="39">
        <f>SUMIF(B16:B1129,B8,J16:J1129)</f>
        <v>2</v>
      </c>
      <c r="Q8" s="39">
        <f>SUMIF(B16:B1129,B8,K16:K1129)</f>
        <v>1</v>
      </c>
      <c r="R8" s="38">
        <f>SUMIF(B16:B1129,B8,L16:L1129)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1476.666667</v>
      </c>
      <c r="F10" s="51">
        <f>IFERROR((G8+R8)/F8,0)</f>
        <v>0.4375</v>
      </c>
      <c r="G10" s="51">
        <f>IFERROR(H8/G8,0)</f>
        <v>0.75</v>
      </c>
      <c r="H10" s="50">
        <f>(C8/C10)</f>
        <v>184.5833333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1.571428571</v>
      </c>
      <c r="N10" s="46"/>
      <c r="O10" s="51">
        <f>IFERROR(O8/N8,0)</f>
        <v>0.75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8" si="2">IFERROR(I17/H17,0)</f>
        <v>0</v>
      </c>
      <c r="V17" s="67">
        <f t="shared" ref="V17:V3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1.0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5.0</v>
      </c>
      <c r="H24" s="133">
        <v>1.0</v>
      </c>
      <c r="I24" s="133">
        <v>1.0</v>
      </c>
      <c r="J24" s="133">
        <v>0.0</v>
      </c>
      <c r="K24" s="133">
        <v>0.0</v>
      </c>
      <c r="L24" s="133">
        <v>0.0</v>
      </c>
      <c r="M24" s="133">
        <v>0.0</v>
      </c>
      <c r="N24" s="133">
        <v>1.0</v>
      </c>
      <c r="O24" s="133">
        <v>1.0</v>
      </c>
      <c r="P24" s="133">
        <v>0.0</v>
      </c>
      <c r="Q24" s="133">
        <v>0.0</v>
      </c>
      <c r="R24" s="133">
        <v>0.0</v>
      </c>
      <c r="S24" s="133">
        <v>0.0</v>
      </c>
      <c r="T24" s="133">
        <v>768.0</v>
      </c>
      <c r="U24" s="67">
        <f t="shared" si="2"/>
        <v>1</v>
      </c>
      <c r="V24" s="67">
        <f t="shared" si="3"/>
        <v>0.2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6.0</v>
      </c>
      <c r="H27" s="133">
        <v>1.0</v>
      </c>
      <c r="I27" s="133">
        <v>1.0</v>
      </c>
      <c r="J27" s="133">
        <v>1.0</v>
      </c>
      <c r="K27" s="133">
        <v>1.0</v>
      </c>
      <c r="L27" s="133">
        <v>2.0</v>
      </c>
      <c r="M27" s="133">
        <v>6.0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2442.0</v>
      </c>
      <c r="U27" s="67">
        <f t="shared" si="2"/>
        <v>1</v>
      </c>
      <c r="V27" s="67">
        <f t="shared" si="3"/>
        <v>0.5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1.0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1.0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134">
        <v>0.0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1.0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ref="U33:U43" si="4">IFERROR(I33/H33,0)</f>
        <v>0</v>
      </c>
      <c r="V33" s="67">
        <f t="shared" ref="V33:V43" si="5">IFERROR(SUM(H33+L33)/G33,0)</f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1.0</v>
      </c>
      <c r="H34" s="133">
        <v>1.0</v>
      </c>
      <c r="I34" s="133">
        <v>0.0</v>
      </c>
      <c r="J34" s="133">
        <v>1.0</v>
      </c>
      <c r="K34" s="133">
        <v>0.0</v>
      </c>
      <c r="L34" s="133">
        <v>0.0</v>
      </c>
      <c r="M34" s="133">
        <v>4.0</v>
      </c>
      <c r="N34" s="133">
        <v>1.0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4"/>
        <v>0</v>
      </c>
      <c r="V34" s="67">
        <f t="shared" si="5"/>
        <v>1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4"/>
        <v>0</v>
      </c>
      <c r="V35" s="67">
        <f t="shared" si="5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4"/>
        <v>0</v>
      </c>
      <c r="V36" s="67">
        <f t="shared" si="5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4"/>
        <v>0</v>
      </c>
      <c r="V37" s="67">
        <f t="shared" si="5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>
        <v>0.0</v>
      </c>
      <c r="H38" s="66">
        <v>0.0</v>
      </c>
      <c r="I38" s="66">
        <v>0.0</v>
      </c>
      <c r="J38" s="66">
        <v>0.0</v>
      </c>
      <c r="K38" s="66">
        <v>0.0</v>
      </c>
      <c r="L38" s="66">
        <v>0.0</v>
      </c>
      <c r="M38" s="66">
        <v>0.0</v>
      </c>
      <c r="N38" s="66">
        <v>0.0</v>
      </c>
      <c r="O38" s="66">
        <v>0.0</v>
      </c>
      <c r="P38" s="66">
        <v>0.0</v>
      </c>
      <c r="Q38" s="66">
        <v>0.0</v>
      </c>
      <c r="R38" s="66">
        <v>0.0</v>
      </c>
      <c r="S38" s="66">
        <v>0.0</v>
      </c>
      <c r="T38" s="66">
        <v>0.0</v>
      </c>
      <c r="U38" s="67">
        <f t="shared" si="4"/>
        <v>0</v>
      </c>
      <c r="V38" s="67">
        <f t="shared" si="5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>
        <v>0.0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7">
        <f t="shared" si="4"/>
        <v>0</v>
      </c>
      <c r="V39" s="67">
        <f t="shared" si="5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1.0</v>
      </c>
      <c r="H40" s="133">
        <v>1.0</v>
      </c>
      <c r="I40" s="133">
        <v>1.0</v>
      </c>
      <c r="J40" s="66">
        <v>0.0</v>
      </c>
      <c r="K40" s="66">
        <v>0.0</v>
      </c>
      <c r="L40" s="66">
        <v>0.0</v>
      </c>
      <c r="M40" s="133">
        <v>1.0</v>
      </c>
      <c r="N40" s="133">
        <v>1.0</v>
      </c>
      <c r="O40" s="133">
        <v>1.0</v>
      </c>
      <c r="P40" s="66">
        <v>0.0</v>
      </c>
      <c r="Q40" s="66">
        <v>0.0</v>
      </c>
      <c r="R40" s="66">
        <v>0.0</v>
      </c>
      <c r="S40" s="66">
        <v>0.0</v>
      </c>
      <c r="T40" s="133">
        <v>1220.0</v>
      </c>
      <c r="U40" s="67">
        <f t="shared" si="4"/>
        <v>1</v>
      </c>
      <c r="V40" s="67">
        <f t="shared" si="5"/>
        <v>1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>
        <v>0.0</v>
      </c>
      <c r="H41" s="66">
        <v>0.0</v>
      </c>
      <c r="I41" s="66">
        <v>0.0</v>
      </c>
      <c r="J41" s="66">
        <v>0.0</v>
      </c>
      <c r="K41" s="66">
        <v>0.0</v>
      </c>
      <c r="L41" s="66">
        <v>0.0</v>
      </c>
      <c r="M41" s="66">
        <v>0.0</v>
      </c>
      <c r="N41" s="66">
        <v>0.0</v>
      </c>
      <c r="O41" s="66">
        <v>0.0</v>
      </c>
      <c r="P41" s="66">
        <v>0.0</v>
      </c>
      <c r="Q41" s="66">
        <v>0.0</v>
      </c>
      <c r="R41" s="66">
        <v>0.0</v>
      </c>
      <c r="S41" s="66">
        <v>0.0</v>
      </c>
      <c r="T41" s="66">
        <v>0.0</v>
      </c>
      <c r="U41" s="67">
        <f t="shared" si="4"/>
        <v>0</v>
      </c>
      <c r="V41" s="67">
        <f t="shared" si="5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4"/>
        <v>0</v>
      </c>
      <c r="V42" s="67">
        <f t="shared" si="5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4"/>
        <v>0</v>
      </c>
      <c r="V43" s="67">
        <f t="shared" si="5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2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0</v>
      </c>
      <c r="F4" s="20">
        <f>IFERROR((G2+R2)/F2,0)</f>
        <v>0.5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2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0</v>
      </c>
      <c r="F7" s="20">
        <f>IFERROR((G5+R5)/F5,0)</f>
        <v>0.5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0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2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0.5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0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9" si="2">IFERROR(I17/H17,0)</f>
        <v>0</v>
      </c>
      <c r="V17" s="67">
        <f t="shared" ref="V17:V2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si="2"/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1.0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134">
        <v>0.0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134">
        <v>0.0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>IFERROR(I32/H32,0)</f>
        <v>0</v>
      </c>
      <c r="V32" s="67">
        <f t="shared" ref="V32:V33" si="4">IFERROR(SUM(H32+L32)/G32,0)</f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si="4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2.0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134">
        <v>0.0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ref="U35:U43" si="5">IFERROR(I35/H35,0)</f>
        <v>0</v>
      </c>
      <c r="V35" s="67">
        <f t="shared" ref="V35:V43" si="6">IFERROR(SUM(H35+L35)/G35,0)</f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5"/>
        <v>0</v>
      </c>
      <c r="V36" s="67">
        <f t="shared" si="6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5"/>
        <v>0</v>
      </c>
      <c r="V37" s="67">
        <f t="shared" si="6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5"/>
        <v>0</v>
      </c>
      <c r="V38" s="67">
        <f t="shared" si="6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5"/>
        <v>0</v>
      </c>
      <c r="V39" s="67">
        <f t="shared" si="6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5"/>
        <v>0</v>
      </c>
      <c r="V40" s="67">
        <f t="shared" si="6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5"/>
        <v>0</v>
      </c>
      <c r="V41" s="67">
        <f t="shared" si="6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5"/>
        <v>0</v>
      </c>
      <c r="V42" s="67">
        <f t="shared" si="6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6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3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39" t="s">
        <v>79</v>
      </c>
      <c r="B1" s="139" t="s">
        <v>80</v>
      </c>
      <c r="C1" s="139" t="s">
        <v>29</v>
      </c>
      <c r="D1" s="139" t="s">
        <v>81</v>
      </c>
      <c r="E1" s="139" t="s">
        <v>0</v>
      </c>
      <c r="F1" s="139" t="s">
        <v>82</v>
      </c>
      <c r="G1" s="139" t="s">
        <v>83</v>
      </c>
      <c r="H1" s="139" t="s">
        <v>84</v>
      </c>
      <c r="I1" s="139" t="s">
        <v>85</v>
      </c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>
      <c r="A2" s="141" t="s">
        <v>86</v>
      </c>
      <c r="B2" s="141" t="s">
        <v>87</v>
      </c>
      <c r="C2" s="141" t="s">
        <v>88</v>
      </c>
      <c r="D2" s="142">
        <v>46132.0</v>
      </c>
      <c r="E2" s="141">
        <v>1163.4</v>
      </c>
      <c r="F2" s="141" t="s">
        <v>89</v>
      </c>
      <c r="G2" s="141" t="s">
        <v>89</v>
      </c>
      <c r="H2" s="141" t="s">
        <v>90</v>
      </c>
      <c r="I2" s="141" t="s">
        <v>60</v>
      </c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</row>
    <row r="5">
      <c r="A5" s="143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</row>
    <row r="6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</row>
    <row r="7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</row>
    <row r="8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</row>
    <row r="9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</row>
    <row r="10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</row>
    <row r="11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</row>
    <row r="12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</row>
    <row r="13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</row>
    <row r="15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</row>
    <row r="16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</row>
    <row r="17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</row>
    <row r="18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</row>
    <row r="19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</row>
    <row r="20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</row>
    <row r="2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</row>
    <row r="22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</row>
    <row r="23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</row>
    <row r="24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</row>
  </sheetData>
  <drawing r:id="rId1"/>
</worksheet>
</file>