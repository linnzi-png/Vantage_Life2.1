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<sst xmlns="http://schemas.openxmlformats.org/spreadsheetml/2006/main" count="2955" uniqueCount="120">
  <si>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</si>
  <si>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</si>
  <si>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</si>
  <si>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</si>
  <si>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</si>
  <si>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</si>
  <si>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</si>
  <si>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</si>
  <si>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</si>
  <si>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</si>
  <si>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</si>
  <si>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</si>
  <si>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</si>
  <si>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</si>
  <si>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</si>
  <si>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</si>
  <si>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</si>
  <si>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</si>
  <si>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</si>
  <si>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</si>
  <si>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</si>
  <si>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</si>
  <si>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</si>
  <si>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</si>
  <si>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</si>
  <si>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</si>
  <si>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</si>
  <si>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</si>
  <si>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</si>
  <si>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</si>
  <si>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</si>
  <si>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</si>
  <si>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</si>
  <si>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</si>
  <si>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</si>
  <si>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</si>
  <si>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</si>
  <si>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</si>
  <si>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</si>
  <si>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</si>
  <si>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</si>
  <si>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</si>
  <si>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</si>
  <si>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</si>
  <si>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</si>
  <si>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</si>
  <si>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</si>
  <si>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</si>
  <si>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</si>
  <si>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</si>
  <si>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</si>
  <si>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</si>
  <si>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</si>
  <si>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</si>
  <si>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</si>
  <si>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</si>
  <si>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</si>
  <si>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</si>
  <si>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LA</t>
  </si>
  <si>
    <t>Reiss Dupuis</t>
  </si>
  <si>
    <t>Sabrina Leu</t>
  </si>
  <si>
    <t>Tolu Alualu</t>
  </si>
  <si>
    <t>Sunshine Faimalo</t>
  </si>
  <si>
    <t>Salai Alualu</t>
  </si>
  <si>
    <t>Tamasailau Leutele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</si>
  <si>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</si>
  <si>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</si>
  <si>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</si>
  <si>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</si>
  <si>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</si>
  <si>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</si>
  <si>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</si>
  <si>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</si>
  <si>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</si>
  <si>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</si>
  <si>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</si>
  <si>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</si>
  <si>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</si>
  <si>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</si>
  <si>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</si>
  <si>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</si>
  <si>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</si>
  <si>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</si>
  <si>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</si>
  <si>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</si>
  <si>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</si>
  <si>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</si>
  <si>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</si>
  <si>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</si>
  <si>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</si>
  <si>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</si>
  <si>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WESLEY DUNN</t>
  </si>
  <si>
    <t>MIKE ALWATAN</t>
  </si>
  <si>
    <t>ALWATAN</t>
  </si>
  <si>
    <t>N/A</t>
  </si>
  <si>
    <t>NO</t>
  </si>
  <si>
    <t>DECIDED AGAINST COVERAGE, JUST WANT THE FREE BENEFITS.</t>
  </si>
  <si>
    <t>FL</t>
  </si>
  <si>
    <t>NICOLETTE BROOKS</t>
  </si>
  <si>
    <t>MO SAAD</t>
  </si>
  <si>
    <t>SAAD</t>
  </si>
  <si>
    <t>AFTER THINKING ABOUT IT, NO LONGER WANTS TO ENROLL AND PUT MONEY INTO THIS.</t>
  </si>
  <si>
    <t>DEBORAH HAGAN</t>
  </si>
  <si>
    <t>HUSSEIN HABHAB</t>
  </si>
  <si>
    <t>TOOK SEVERAL DAYS TO DECIDE. NO LONGER WANTS THE BENEFITS</t>
  </si>
  <si>
    <t>LS</t>
  </si>
  <si>
    <t>JOHNNIE DAVISON</t>
  </si>
  <si>
    <t>CANCEL PER AGENT</t>
  </si>
  <si>
    <t>VANESSA HILL</t>
  </si>
  <si>
    <t>MEDHI ELKHATIB</t>
  </si>
  <si>
    <t>WELLS, JARED</t>
  </si>
  <si>
    <t>HASSANE ZAHR</t>
  </si>
  <si>
    <t>YES</t>
  </si>
  <si>
    <t>CANCEL PER HASAN NASSER</t>
  </si>
  <si>
    <t>ANTHONY CLARK</t>
  </si>
  <si>
    <t>MOHAMMAD SAAD</t>
  </si>
  <si>
    <t>CANCEL PER ALI SAAD</t>
  </si>
  <si>
    <t>LISA KEEGAN</t>
  </si>
  <si>
    <t>ALI NASSER</t>
  </si>
  <si>
    <t>LISA INITIALLY NOTED THE CANCELLATION ON AWS. I TOUCHED BASE W AGENT AND CONFIRMED CANCELLATION DUE TO CLIENT BEING UNREACHABLE FOR HIM.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</si>
</sst>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37254</v>
      </c>
      <c r="D2" s="9"/>
      <c r="E2" s="8">
        <f t="shared" ref="E2:R2" si="1">SUM(E5,E11)</f>
        <v>5367</v>
      </c>
      <c r="F2" s="8">
        <f t="shared" si="1"/>
        <v>101</v>
      </c>
      <c r="G2" s="10">
        <f t="shared" si="1"/>
        <v>46</v>
      </c>
      <c r="H2" s="10">
        <f t="shared" si="1"/>
        <v>25</v>
      </c>
      <c r="I2" s="10">
        <f t="shared" si="1"/>
        <v>0</v>
      </c>
      <c r="J2" s="10">
        <f t="shared" si="1"/>
        <v>0</v>
      </c>
      <c r="K2" s="10">
        <f t="shared" si="1"/>
        <v>36</v>
      </c>
      <c r="L2" s="10">
        <f t="shared" si="1"/>
        <v>21</v>
      </c>
      <c r="M2" s="10">
        <f t="shared" si="1"/>
        <v>85</v>
      </c>
      <c r="N2" s="10">
        <f t="shared" si="1"/>
        <v>10</v>
      </c>
      <c r="O2" s="10">
        <f t="shared" si="1"/>
        <v>3</v>
      </c>
      <c r="P2" s="10">
        <f t="shared" si="1"/>
        <v>21</v>
      </c>
      <c r="Q2" s="10">
        <f t="shared" si="1"/>
        <v>10</v>
      </c>
      <c r="R2" s="10">
        <f t="shared" si="1"/>
        <v>9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1490.16</v>
      </c>
      <c r="F4" s="20">
        <f>IFERROR((G2+R2)/F2,0)</f>
        <v>0.5445544554</v>
      </c>
      <c r="G4" s="20">
        <f>IFERROR(H2/G2,0)</f>
        <v>0.5434782609</v>
      </c>
      <c r="H4" s="19">
        <f>(C2/C4)</f>
        <v>1034.833333</v>
      </c>
      <c r="I4" s="21"/>
      <c r="J4" s="20">
        <f>IFERROR(J2/I2,0)</f>
        <v>0</v>
      </c>
      <c r="K4" s="21"/>
      <c r="L4" s="20">
        <f>IFERROR(L2/K2,0)</f>
        <v>0.5833333333</v>
      </c>
      <c r="M4" s="22">
        <f>IFERROR(M2/G2,0)</f>
        <v>1.847826087</v>
      </c>
      <c r="N4" s="21"/>
      <c r="O4" s="20">
        <f>IFERROR(O2/N2,0)</f>
        <v>0.3</v>
      </c>
      <c r="P4" s="22"/>
      <c r="Q4" s="20">
        <f>IFERROR(Q2/P2,0)</f>
        <v>0.4761904762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5367</v>
      </c>
      <c r="D5" s="26"/>
      <c r="E5" s="27">
        <f>SUMIFS(T:T,A:A,B5,D:D,"Y")</f>
        <v>5367</v>
      </c>
      <c r="F5" s="8">
        <f>SUMIF(A:A,B5,G:G)</f>
        <v>20</v>
      </c>
      <c r="G5" s="10">
        <f>SUMIF(A:A,B5,H:H)</f>
        <v>9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38</v>
      </c>
      <c r="N5" s="10">
        <f>SUMIF(A:A,B5,N:N)</f>
        <v>4</v>
      </c>
      <c r="O5" s="10">
        <f>SUMIF(A:A,B5,O:O)</f>
        <v>2</v>
      </c>
      <c r="P5" s="10">
        <f>SUMIF(A:A,B5,J:J)</f>
        <v>2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1341.75</v>
      </c>
      <c r="F7" s="20">
        <f>IFERROR((G5+R5)/F5,0)</f>
        <v>0.45</v>
      </c>
      <c r="G7" s="20">
        <f>IFERROR(H5/G5,0)</f>
        <v>0.4444444444</v>
      </c>
      <c r="H7" s="19">
        <f>(C5/C7)</f>
        <v>315.7058824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4.222222222</v>
      </c>
      <c r="N7" s="21"/>
      <c r="O7" s="20">
        <f>IFERROR(O5/N5,0)</f>
        <v>0.5</v>
      </c>
      <c r="P7" s="22"/>
      <c r="Q7" s="20">
        <f>IFERROR(Q5/P5,0)</f>
        <v>1.5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5367</v>
      </c>
      <c r="D8" s="36"/>
      <c r="E8" s="37">
        <f>SUMIFS(T:T,B:B,B8,D:D,"Y")</f>
        <v>5367</v>
      </c>
      <c r="F8" s="38">
        <f>SUMIF(B19:B1035,B8,G19:G1035)</f>
        <v>20</v>
      </c>
      <c r="G8" s="39">
        <f>SUMIF(B19:B1035,B8,H19:H1035)</f>
        <v>9</v>
      </c>
      <c r="H8" s="38">
        <f>SUMIF(B19:B1035,B8,I19:I1035)</f>
        <v>4</v>
      </c>
      <c r="I8" s="39">
        <f>SUMIF(B19:B1035,B8,P19:P1035)</f>
        <v>0</v>
      </c>
      <c r="J8" s="39">
        <f>SUMIF(B19:B1035,B8,Q19:Q1035)</f>
        <v>0</v>
      </c>
      <c r="K8" s="39">
        <f>SUMIF(B19:B1035,B8,R19:R1035)</f>
        <v>1</v>
      </c>
      <c r="L8" s="39">
        <f>SUMIF(B19:B1035,B8,S19:S1035)</f>
        <v>1</v>
      </c>
      <c r="M8" s="39">
        <f>SUMIF(B19:B1035,B8,M19:M1035)</f>
        <v>38</v>
      </c>
      <c r="N8" s="39">
        <f>SUMIF(B19:B1035,B8,N19:N1035)</f>
        <v>4</v>
      </c>
      <c r="O8" s="38">
        <f>SUMIF(B19:B1035,B8,O19:O1035)</f>
        <v>2</v>
      </c>
      <c r="P8" s="39">
        <f>SUMIF(B19:B1035,B8,J19:J1035)</f>
        <v>2</v>
      </c>
      <c r="Q8" s="39">
        <f>SUMIF(B19:B1035,B8,K19:K1035)</f>
        <v>3</v>
      </c>
      <c r="R8" s="38">
        <f>SUMIF(B19:B1035,B8,L19:L1035)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COUNTIFS(B19:B1035,B8)</f>
        <v>16</v>
      </c>
      <c r="D10" s="42"/>
      <c r="E10" s="50">
        <f>IFERROR(C8/H8,0)</f>
        <v>1341.75</v>
      </c>
      <c r="F10" s="51">
        <f>IFERROR((G8+R8)/F8,0)</f>
        <v>0.45</v>
      </c>
      <c r="G10" s="51">
        <f>IFERROR(H8/G8,0)</f>
        <v>0.4444444444</v>
      </c>
      <c r="H10" s="50">
        <f>(C8/C10)</f>
        <v>335.4375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4.222222222</v>
      </c>
      <c r="N10" s="46"/>
      <c r="O10" s="51">
        <f>IFERROR(O8/N8,0)</f>
        <v>0.5</v>
      </c>
      <c r="P10" s="53"/>
      <c r="Q10" s="51">
        <f>IFERROR(Q8/P8,0)</f>
        <v>1.5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31887</v>
      </c>
      <c r="D11" s="26"/>
      <c r="E11" s="27">
        <f>SUMIFS(T:T,A:A,B11,D:D,"Y")</f>
        <v>0</v>
      </c>
      <c r="F11" s="8">
        <f>SUMIF(A:A,B11,G:G)</f>
        <v>81</v>
      </c>
      <c r="G11" s="10">
        <f>SUMIF(A:A,B11,H:H)</f>
        <v>37</v>
      </c>
      <c r="H11" s="10">
        <f>SUMIF(A:A,B11,I:I)</f>
        <v>21</v>
      </c>
      <c r="I11" s="10">
        <f>SUMIF(A:A,B11,P:P)</f>
        <v>0</v>
      </c>
      <c r="J11" s="10">
        <f>SUMIF(A:A,B11,Q:Q)</f>
        <v>0</v>
      </c>
      <c r="K11" s="10">
        <f>SUMIF(A:A,B11,R:R)</f>
        <v>35</v>
      </c>
      <c r="L11" s="10">
        <f>SUMIF(A:A,B11,S:S)</f>
        <v>20</v>
      </c>
      <c r="M11" s="10">
        <f>SUMIF(A:A,B11,M:M)</f>
        <v>47</v>
      </c>
      <c r="N11" s="10">
        <f>SUMIF(A:A,B11,N:N)</f>
        <v>6</v>
      </c>
      <c r="O11" s="10">
        <f>SUMIF(A:A,B11,O:O)</f>
        <v>1</v>
      </c>
      <c r="P11" s="10">
        <f>SUMIF(A:A,B11,J:J)</f>
        <v>19</v>
      </c>
      <c r="Q11" s="10">
        <f>SUMIF(A:A,B11,K:K)</f>
        <v>7</v>
      </c>
      <c r="R11" s="10">
        <f>SUMIF(A:A,B11,L:L)</f>
        <v>9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1518.428571</v>
      </c>
      <c r="F13" s="20">
        <f>IFERROR((G11+R11)/F11,0)</f>
        <v>0.5679012346</v>
      </c>
      <c r="G13" s="20">
        <f>IFERROR(H11/G11,0)</f>
        <v>0.5675675676</v>
      </c>
      <c r="H13" s="19">
        <f>(C11/C13)</f>
        <v>1678.263158</v>
      </c>
      <c r="I13" s="21"/>
      <c r="J13" s="20">
        <f>IFERROR(J11/I11,0)</f>
        <v>0</v>
      </c>
      <c r="K13" s="21"/>
      <c r="L13" s="20">
        <f>IFERROR(L11/K11,0)</f>
        <v>0.5714285714</v>
      </c>
      <c r="M13" s="22">
        <f>IFERROR(M11/SUM(R11+G11,0),"")</f>
        <v>1.02173913</v>
      </c>
      <c r="N13" s="21"/>
      <c r="O13" s="20">
        <f>IFERROR(O11/N11,0)</f>
        <v>0.1666666667</v>
      </c>
      <c r="P13" s="22"/>
      <c r="Q13" s="20">
        <f>IFERROR(Q11/P11,0)</f>
        <v>0.3684210526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31887</v>
      </c>
      <c r="D14" s="36"/>
      <c r="E14" s="37">
        <f>SUMIFS(T:T,B:B,B14,D:D,"Y")</f>
        <v>0</v>
      </c>
      <c r="F14" s="38">
        <f>SUMIF(B19:B1035,B14,G19:G1035)</f>
        <v>81</v>
      </c>
      <c r="G14" s="39">
        <f>SUMIF(B19:B1035,B14,H19:H1035)</f>
        <v>37</v>
      </c>
      <c r="H14" s="38">
        <f>SUMIF(B19:B1035,B14,I19:I1035)</f>
        <v>21</v>
      </c>
      <c r="I14" s="39">
        <f>SUMIF(B19:B1035,B14,P19:P1035)</f>
        <v>0</v>
      </c>
      <c r="J14" s="39">
        <f>SUMIF(B19:B1035,B14,Q19:Q1035)</f>
        <v>0</v>
      </c>
      <c r="K14" s="39">
        <f>SUMIF(B19:B1035,B14,R19:R1035)</f>
        <v>35</v>
      </c>
      <c r="L14" s="39">
        <f>SUMIF(B19:B1035,B14,S19:S1035)</f>
        <v>20</v>
      </c>
      <c r="M14" s="39">
        <f>SUMIF(B19:B1035,B14,M19:M1035)</f>
        <v>47</v>
      </c>
      <c r="N14" s="39">
        <f>SUMIF(B19:B1035,B14,N19:N1035)</f>
        <v>6</v>
      </c>
      <c r="O14" s="38">
        <f>SUMIF(B19:B1035,B14,O19:O1035)</f>
        <v>1</v>
      </c>
      <c r="P14" s="39">
        <f>SUMIF(B19:B1035,B14,J19:J1035)</f>
        <v>19</v>
      </c>
      <c r="Q14" s="39">
        <f>SUMIF(B19:B1035,B14,K19:K1035)</f>
        <v>7</v>
      </c>
      <c r="R14" s="38">
        <f>SUMIF(B19:B1035,B14,L19:L1035)</f>
        <v>9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COUNTIFS(B19:B1035,B14)</f>
        <v>18</v>
      </c>
      <c r="D16" s="42"/>
      <c r="E16" s="50">
        <f>IFERROR(C14/H14,0)</f>
        <v>1518.428571</v>
      </c>
      <c r="F16" s="51">
        <f>IFERROR((G14+R14)/F14,0)</f>
        <v>0.5679012346</v>
      </c>
      <c r="G16" s="51">
        <f>IFERROR(H14/G14,0)</f>
        <v>0.5675675676</v>
      </c>
      <c r="H16" s="50">
        <f>(C14/C16)</f>
        <v>1771.5</v>
      </c>
      <c r="I16" s="46"/>
      <c r="J16" s="51">
        <f>IFERROR(J14/I14,0)</f>
        <v>0</v>
      </c>
      <c r="K16" s="46"/>
      <c r="L16" s="51">
        <f>IFERROR(L14/K14,0)</f>
        <v>0.5714285714</v>
      </c>
      <c r="M16" s="52">
        <f>IFERROR(M14/SUM(G14+R14,0),"")</f>
        <v>1.02173913</v>
      </c>
      <c r="N16" s="46"/>
      <c r="O16" s="51">
        <f>IFERROR(O14/N14,0)</f>
        <v>0.1666666667</v>
      </c>
      <c r="P16" s="53"/>
      <c r="Q16" s="51">
        <f>IFERROR(Q14/P14,0)</f>
        <v>0.3684210526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3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0</v>
      </c>
      <c r="H22" s="65">
        <f>('Thurs (2)'!H22+Thurs!H22+'Tues '!H22+Wed!H22+Fri!H22+'Mon '!H22+'Wed (2)'!H22+Sun!H22+Sat!H22)</f>
        <v>0</v>
      </c>
      <c r="I22" s="65">
        <f>('Thurs (2)'!I22+Thurs!I22+'Tues '!I22+Wed!I22+Fri!I22+'Mon '!I22+'Wed (2)'!I22+Sun!I22+Sat!I22)</f>
        <v>0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0</v>
      </c>
      <c r="N22" s="65">
        <f>('Thurs (2)'!N22+Thurs!N22+'Tues '!N22+Wed!N22+Fri!N22+'Mon '!N22+'Wed (2)'!N22+Sun!N22+Sat!N22)</f>
        <v>0</v>
      </c>
      <c r="O22" s="65">
        <f>('Thurs (2)'!O22+Thurs!O22+'Tues '!O22+Wed!O22+Fri!O22+'Mon '!O22+'Wed (2)'!O22+Sun!O22+Sat!O22)</f>
        <v>0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0</v>
      </c>
      <c r="H24" s="65">
        <f>('Thurs (2)'!H24+Thurs!H24+'Tues '!H24+Wed!H24+Fri!H24+'Mon '!H24+'Wed (2)'!H24+Sun!H24+Sat!H24)</f>
        <v>0</v>
      </c>
      <c r="I24" s="65">
        <f>('Thurs (2)'!I24+Thurs!I24+'Tues '!I24+Wed!I24+Fri!I24+'Mon '!I24+'Wed (2)'!I24+Sun!I24+Sat!I24)</f>
        <v>0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0</v>
      </c>
      <c r="N24" s="65">
        <f>('Thurs (2)'!N24+Thurs!N24+'Tues '!N24+Wed!N24+Fri!N24+'Mon '!N24+'Wed (2)'!N24+Sun!N24+Sat!N24)</f>
        <v>0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0</v>
      </c>
      <c r="S24" s="65">
        <f>('Thurs (2)'!S24+Thurs!S24+'Tues '!S24+Wed!S24+Fri!S24+'Mon '!S24+'Wed (2)'!S24+Sun!S24+Sat!S24)</f>
        <v>0</v>
      </c>
      <c r="T24" s="65">
        <f>('Thurs (2)'!T24+Thurs!T24+'Tues '!T24+Wed!T24+Fri!T24+'Mon '!T24+'Wed (2)'!T24+Sun!T24+Sat!T24)</f>
        <v>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4</v>
      </c>
      <c r="H28" s="65">
        <f>('Thurs (2)'!H28+Thurs!H28+'Tues '!H28+Wed!H28+Fri!H28+'Mon '!H28+'Wed (2)'!H28+Sun!H28+Sat!H28)</f>
        <v>2</v>
      </c>
      <c r="I28" s="65">
        <f>('Thurs (2)'!I28+Thurs!I28+'Tues '!I28+Wed!I28+Fri!I28+'Mon '!I28+'Wed (2)'!I28+Sun!I28+Sat!I28)</f>
        <v>2</v>
      </c>
      <c r="J28" s="65">
        <f>('Thurs (2)'!J28+Thurs!J28+'Tues '!J28+Wed!J28+Fri!J28+'Mon '!J28+'Wed (2)'!J28+Sun!J28+Sat!J28)</f>
        <v>2</v>
      </c>
      <c r="K28" s="65">
        <f>('Thurs (2)'!K28+Thurs!K28+'Tues '!K28+Wed!K28+Fri!K28+'Mon '!K28+'Wed (2)'!K28+Sun!K28+Sat!K28)</f>
        <v>2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10</v>
      </c>
      <c r="N28" s="65">
        <f>('Thurs (2)'!N28+Thurs!N28+'Tues '!N28+Wed!N28+Fri!N28+'Mon '!N28+'Wed (2)'!N28+Sun!N28+Sat!N28)</f>
        <v>1</v>
      </c>
      <c r="O28" s="65">
        <f>('Thurs (2)'!O28+Thurs!O28+'Tues '!O28+Wed!O28+Fri!O28+'Mon '!O28+'Wed (2)'!O28+Sun!O28+Sat!O28)</f>
        <v>1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1</v>
      </c>
      <c r="S28" s="65">
        <f>('Thurs (2)'!S28+Thurs!S28+'Tues '!S28+Wed!S28+Fri!S28+'Mon '!S28+'Wed (2)'!S28+Sun!S28+Sat!S28)</f>
        <v>1</v>
      </c>
      <c r="T28" s="65">
        <f>('Thurs (2)'!T28+Thurs!T28+'Tues '!T28+Wed!T28+Fri!T28+'Mon '!T28+'Wed (2)'!T28+Sun!T28+Sat!T28)</f>
        <v>3618</v>
      </c>
      <c r="U28" s="66">
        <f t="shared" si="2"/>
        <v>1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3</v>
      </c>
      <c r="H29" s="65">
        <f>('Thurs (2)'!H29+Thurs!H29+'Tues '!H29+Wed!H29+Fri!H29+'Mon '!H29+'Wed (2)'!H29+Sun!H29+Sat!H29)</f>
        <v>1</v>
      </c>
      <c r="I29" s="65">
        <f>('Thurs (2)'!I29+Thurs!I29+'Tues '!I29+Wed!I29+Fri!I29+'Mon '!I29+'Wed (2)'!I29+Sun!I29+Sat!I29)</f>
        <v>1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2</v>
      </c>
      <c r="N29" s="65">
        <f>('Thurs (2)'!N29+Thurs!N29+'Tues '!N29+Wed!N29+Fri!N29+'Mon '!N29+'Wed (2)'!N29+Sun!N29+Sat!N29)</f>
        <v>1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0</v>
      </c>
      <c r="U29" s="66">
        <f t="shared" si="2"/>
        <v>1</v>
      </c>
      <c r="V29" s="66">
        <f t="shared" si="3"/>
        <v>0.3333333333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0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0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>
        <f>('Thurs (2)'!G32+Thurs!G32+'Tues '!G32+Wed!G32+Fri!G32+'Mon '!G32+'Wed (2)'!G32+Sun!G32+Sat!G32)</f>
        <v>4</v>
      </c>
      <c r="H32" s="65">
        <f>('Thurs (2)'!H32+Thurs!H32+'Tues '!H32+Wed!H32+Fri!H32+'Mon '!H32+'Wed (2)'!H32+Sun!H32+Sat!H32)</f>
        <v>3</v>
      </c>
      <c r="I32" s="65">
        <f>('Thurs (2)'!I32+Thurs!I32+'Tues '!I32+Wed!I32+Fri!I32+'Mon '!I32+'Wed (2)'!I32+Sun!I32+Sat!I32)</f>
        <v>1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1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16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1749</v>
      </c>
      <c r="U32" s="66">
        <f t="shared" si="2"/>
        <v>0.3333333333</v>
      </c>
      <c r="V32" s="66">
        <f t="shared" si="3"/>
        <v>0.75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>
        <f>('Thurs (2)'!G33+Thurs!G33+'Tues '!G33+Wed!G33+Fri!G33+'Mon '!G33+'Wed (2)'!G33+Sun!G33+Sat!G33)</f>
        <v>3</v>
      </c>
      <c r="H33" s="65">
        <f>('Thurs (2)'!H33+Thurs!H33+'Tues '!H33+Wed!H33+Fri!H33+'Mon '!H33+'Wed (2)'!H33+Sun!H33+Sat!H33)</f>
        <v>1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0.3333333333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>
        <f>('Thurs (2)'!G34+Thurs!G34+'Tues '!G34+Wed!G34+Fri!G34+'Mon '!G34+'Wed (2)'!G34+Sun!G34+Sat!G34)</f>
        <v>3</v>
      </c>
      <c r="H34" s="65">
        <f>('Thurs (2)'!H34+Thurs!H34+'Tues '!H34+Wed!H34+Fri!H34+'Mon '!H34+'Wed (2)'!H34+Sun!H34+Sat!H34)</f>
        <v>2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10</v>
      </c>
      <c r="N34" s="65">
        <f>('Thurs (2)'!N34+Thurs!N34+'Tues '!N34+Wed!N34+Fri!N34+'Mon '!N34+'Wed (2)'!N34+Sun!N34+Sat!N34)</f>
        <v>2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0.6666666667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>
        <f>('Thurs (2)'!G41+Thurs!G41+'Tues '!G41+Wed!G41+Fri!G41+'Mon '!G41+'Wed (2)'!G41+Sun!G41+Sat!G41)</f>
        <v>18</v>
      </c>
      <c r="H41" s="65">
        <f>('Thurs (2)'!H41+Thurs!H41+'Tues '!H41+Wed!H41+Fri!H41+'Mon '!H41+'Wed (2)'!H41+Sun!H41+Sat!H41)</f>
        <v>7</v>
      </c>
      <c r="I41" s="65">
        <f>('Thurs (2)'!I41+Thurs!I41+'Tues '!I41+Wed!I41+Fri!I41+'Mon '!I41+'Wed (2)'!I41+Sun!I41+Sat!I41)</f>
        <v>7</v>
      </c>
      <c r="J41" s="65">
        <f>('Thurs (2)'!J41+Thurs!J41+'Tues '!J41+Wed!J41+Fri!J41+'Mon '!J41+'Wed (2)'!J41+Sun!J41+Sat!J41)</f>
        <v>2</v>
      </c>
      <c r="K41" s="65">
        <f>('Thurs (2)'!K41+Thurs!K41+'Tues '!K41+Wed!K41+Fri!K41+'Mon '!K41+'Wed (2)'!K41+Sun!K41+Sat!K41)</f>
        <v>2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7</v>
      </c>
      <c r="S41" s="65">
        <f>('Thurs (2)'!S41+Thurs!S41+'Tues '!S41+Wed!S41+Fri!S41+'Mon '!S41+'Wed (2)'!S41+Sun!S41+Sat!S41)</f>
        <v>7</v>
      </c>
      <c r="T41" s="65">
        <f>('Thurs (2)'!T41+Thurs!T41+'Tues '!T41+Wed!T41+Fri!T41+'Mon '!T41+'Wed (2)'!T41+Sun!T41+Sat!T41)</f>
        <v>9045</v>
      </c>
      <c r="U41" s="66">
        <f t="shared" si="4"/>
        <v>1</v>
      </c>
      <c r="V41" s="66">
        <f t="shared" si="5"/>
        <v>0.3888888889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>
        <f>('Thurs (2)'!G44+Thurs!G44+'Tues '!G44+Wed!G44+Fri!G44+'Mon '!G44+'Wed (2)'!G44+Sun!G44+Sat!G44)</f>
        <v>5</v>
      </c>
      <c r="H44" s="65">
        <f>('Thurs (2)'!H44+Thurs!H44+'Tues '!H44+Wed!H44+Fri!H44+'Mon '!H44+'Wed (2)'!H44+Sun!H44+Sat!H44)</f>
        <v>2</v>
      </c>
      <c r="I44" s="65">
        <f>('Thurs (2)'!I44+Thurs!I44+'Tues '!I44+Wed!I44+Fri!I44+'Mon '!I44+'Wed (2)'!I44+Sun!I44+Sat!I44)</f>
        <v>1</v>
      </c>
      <c r="J44" s="65">
        <f>('Thurs (2)'!J44+Thurs!J44+'Tues '!J44+Wed!J44+Fri!J44+'Mon '!J44+'Wed (2)'!J44+Sun!J44+Sat!J44)</f>
        <v>2</v>
      </c>
      <c r="K44" s="65">
        <f>('Thurs (2)'!K44+Thurs!K44+'Tues '!K44+Wed!K44+Fri!K44+'Mon '!K44+'Wed (2)'!K44+Sun!K44+Sat!K44)</f>
        <v>1</v>
      </c>
      <c r="L44" s="65">
        <f>('Thurs (2)'!L44+Thurs!L44+'Tues '!L44+Wed!L44+Fri!L44+'Mon '!L44+'Wed (2)'!L44+Sun!L44+Sat!L44)</f>
        <v>1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2</v>
      </c>
      <c r="S44" s="65">
        <f>('Thurs (2)'!S44+Thurs!S44+'Tues '!S44+Wed!S44+Fri!S44+'Mon '!S44+'Wed (2)'!S44+Sun!S44+Sat!S44)</f>
        <v>1</v>
      </c>
      <c r="T44" s="65">
        <f>('Thurs (2)'!T44+Thurs!T44+'Tues '!T44+Wed!T44+Fri!T44+'Mon '!T44+'Wed (2)'!T44+Sun!T44+Sat!T44)</f>
        <v>1600</v>
      </c>
      <c r="U44" s="66">
        <f t="shared" si="4"/>
        <v>0.5</v>
      </c>
      <c r="V44" s="66">
        <f t="shared" si="5"/>
        <v>0.6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>
        <f>('Thurs (2)'!G45+Thurs!G45+'Tues '!G45+Wed!G45+Fri!G45+'Mon '!G45+'Wed (2)'!G45+Sun!G45+Sat!G45)</f>
        <v>12</v>
      </c>
      <c r="H45" s="65">
        <f>('Thurs (2)'!H45+Thurs!H45+'Tues '!H45+Wed!H45+Fri!H45+'Mon '!H45+'Wed (2)'!H45+Sun!H45+Sat!H45)</f>
        <v>4</v>
      </c>
      <c r="I45" s="65">
        <f>('Thurs (2)'!I45+Thurs!I45+'Tues '!I45+Wed!I45+Fri!I45+'Mon '!I45+'Wed (2)'!I45+Sun!I45+Sat!I45)</f>
        <v>2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4</v>
      </c>
      <c r="S45" s="65">
        <f>('Thurs (2)'!S45+Thurs!S45+'Tues '!S45+Wed!S45+Fri!S45+'Mon '!S45+'Wed (2)'!S45+Sun!S45+Sat!S45)</f>
        <v>2</v>
      </c>
      <c r="T45" s="65">
        <f>('Thurs (2)'!T45+Thurs!T45+'Tues '!T45+Wed!T45+Fri!T45+'Mon '!T45+'Wed (2)'!T45+Sun!T45+Sat!T45)</f>
        <v>2721</v>
      </c>
      <c r="U45" s="66">
        <f t="shared" si="4"/>
        <v>0.5</v>
      </c>
      <c r="V45" s="66">
        <f t="shared" si="5"/>
        <v>0.3333333333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>
        <f>('Thurs (2)'!G47+Thurs!G47+'Tues '!G47+Wed!G47+Fri!G47+'Mon '!G47+'Wed (2)'!G47+Sun!G47+Sat!G47)</f>
        <v>9</v>
      </c>
      <c r="H47" s="65">
        <f>('Thurs (2)'!H47+Thurs!H47+'Tues '!H47+Wed!H47+Fri!H47+'Mon '!H47+'Wed (2)'!H47+Sun!H47+Sat!H47)</f>
        <v>7</v>
      </c>
      <c r="I47" s="65">
        <f>('Thurs (2)'!I47+Thurs!I47+'Tues '!I47+Wed!I47+Fri!I47+'Mon '!I47+'Wed (2)'!I47+Sun!I47+Sat!I47)</f>
        <v>5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20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7</v>
      </c>
      <c r="S47" s="65">
        <f>('Thurs (2)'!S47+Thurs!S47+'Tues '!S47+Wed!S47+Fri!S47+'Mon '!S47+'Wed (2)'!S47+Sun!S47+Sat!S47)</f>
        <v>5</v>
      </c>
      <c r="T47" s="65">
        <f>('Thurs (2)'!T47+Thurs!T47+'Tues '!T47+Wed!T47+Fri!T47+'Mon '!T47+'Wed (2)'!T47+Sun!T47+Sat!T47)</f>
        <v>7640</v>
      </c>
      <c r="U47" s="66">
        <f t="shared" si="4"/>
        <v>0.7142857143</v>
      </c>
      <c r="V47" s="66">
        <f t="shared" si="5"/>
        <v>0.7777777778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>
        <f>('Thurs (2)'!G48+Thurs!G48+'Tues '!G48+Wed!G48+Fri!G48+'Mon '!G48+'Wed (2)'!G48+Sun!G48+Sat!G48)</f>
        <v>14</v>
      </c>
      <c r="H48" s="65">
        <f>('Thurs (2)'!H48+Thurs!H48+'Tues '!H48+Wed!H48+Fri!H48+'Mon '!H48+'Wed (2)'!H48+Sun!H48+Sat!H48)</f>
        <v>1</v>
      </c>
      <c r="I48" s="65">
        <f>('Thurs (2)'!I48+Thurs!I48+'Tues '!I48+Wed!I48+Fri!I48+'Mon '!I48+'Wed (2)'!I48+Sun!I48+Sat!I48)</f>
        <v>1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2</v>
      </c>
      <c r="M48" s="65">
        <f>('Thurs (2)'!M48+Thurs!M48+'Tues '!M48+Wed!M48+Fri!M48+'Mon '!M48+'Wed (2)'!M48+Sun!M48+Sat!M48)</f>
        <v>6</v>
      </c>
      <c r="N48" s="65">
        <f>('Thurs (2)'!N48+Thurs!N48+'Tues '!N48+Wed!N48+Fri!N48+'Mon '!N48+'Wed (2)'!N48+Sun!N48+Sat!N48)</f>
        <v>3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1</v>
      </c>
      <c r="S48" s="65">
        <f>('Thurs (2)'!S48+Thurs!S48+'Tues '!S48+Wed!S48+Fri!S48+'Mon '!S48+'Wed (2)'!S48+Sun!S48+Sat!S48)</f>
        <v>1</v>
      </c>
      <c r="T48" s="65">
        <f>('Thurs (2)'!T48+Thurs!T48+'Tues '!T48+Wed!T48+Fri!T48+'Mon '!T48+'Wed (2)'!T48+Sun!T48+Sat!T48)</f>
        <v>2700</v>
      </c>
      <c r="U48" s="66">
        <f t="shared" si="4"/>
        <v>1</v>
      </c>
      <c r="V48" s="66">
        <f t="shared" si="5"/>
        <v>0.2142857143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>
        <f>('Thurs (2)'!G51+Thurs!G51+'Tues '!G51+Wed!G51+Fri!G51+'Mon '!G51+'Wed (2)'!G51+Sun!G51+Sat!G51)</f>
        <v>6</v>
      </c>
      <c r="H51" s="65">
        <f>('Thurs (2)'!H51+Thurs!H51+'Tues '!H51+Wed!H51+Fri!H51+'Mon '!H51+'Wed (2)'!H51+Sun!H51+Sat!H51)</f>
        <v>4</v>
      </c>
      <c r="I51" s="65">
        <f>('Thurs (2)'!I51+Thurs!I51+'Tues '!I51+Wed!I51+Fri!I51+'Mon '!I51+'Wed (2)'!I51+Sun!I51+Sat!I51)</f>
        <v>2</v>
      </c>
      <c r="J51" s="65">
        <f>('Thurs (2)'!J51+Thurs!J51+'Tues '!J51+Wed!J51+Fri!J51+'Mon '!J51+'Wed (2)'!J51+Sun!J51+Sat!J51)</f>
        <v>5</v>
      </c>
      <c r="K51" s="65">
        <f>('Thurs (2)'!K51+Thurs!K51+'Tues '!K51+Wed!K51+Fri!K51+'Mon '!K51+'Wed (2)'!K51+Sun!K51+Sat!K51)</f>
        <v>2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9</v>
      </c>
      <c r="N51" s="65">
        <f>('Thurs (2)'!N51+Thurs!N51+'Tues '!N51+Wed!N51+Fri!N51+'Mon '!N51+'Wed (2)'!N51+Sun!N51+Sat!N51)</f>
        <v>1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4</v>
      </c>
      <c r="S51" s="65">
        <f>('Thurs (2)'!S51+Thurs!S51+'Tues '!S51+Wed!S51+Fri!S51+'Mon '!S51+'Wed (2)'!S51+Sun!S51+Sat!S51)</f>
        <v>2</v>
      </c>
      <c r="T51" s="65">
        <f>('Thurs (2)'!T51+Thurs!T51+'Tues '!T51+Wed!T51+Fri!T51+'Mon '!T51+'Wed (2)'!T51+Sun!T51+Sat!T51)</f>
        <v>1807</v>
      </c>
      <c r="U51" s="66">
        <f t="shared" si="4"/>
        <v>0.5</v>
      </c>
      <c r="V51" s="66">
        <f t="shared" si="5"/>
        <v>0.6666666667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>
        <f>('Thurs (2)'!G52+Thurs!G52+'Tues '!G52+Wed!G52+Fri!G52+'Mon '!G52+'Wed (2)'!G52+Sun!G52+Sat!G52)</f>
        <v>4</v>
      </c>
      <c r="H52" s="65">
        <f>('Thurs (2)'!H52+Thurs!H52+'Tues '!H52+Wed!H52+Fri!H52+'Mon '!H52+'Wed (2)'!H52+Sun!H52+Sat!H52)</f>
        <v>4</v>
      </c>
      <c r="I52" s="65">
        <f>('Thurs (2)'!I52+Thurs!I52+'Tues '!I52+Wed!I52+Fri!I52+'Mon '!I52+'Wed (2)'!I52+Sun!I52+Sat!I52)</f>
        <v>1</v>
      </c>
      <c r="J52" s="65">
        <f>('Thurs (2)'!J52+Thurs!J52+'Tues '!J52+Wed!J52+Fri!J52+'Mon '!J52+'Wed (2)'!J52+Sun!J52+Sat!J52)</f>
        <v>4</v>
      </c>
      <c r="K52" s="65">
        <f>('Thurs (2)'!K52+Thurs!K52+'Tues '!K52+Wed!K52+Fri!K52+'Mon '!K52+'Wed (2)'!K52+Sun!K52+Sat!K52)</f>
        <v>1</v>
      </c>
      <c r="L52" s="65">
        <f>('Thurs (2)'!L52+Thurs!L52+'Tues '!L52+Wed!L52+Fri!L52+'Mon '!L52+'Wed (2)'!L52+Sun!L52+Sat!L52)</f>
        <v>2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4</v>
      </c>
      <c r="S52" s="65">
        <f>('Thurs (2)'!S52+Thurs!S52+'Tues '!S52+Wed!S52+Fri!S52+'Mon '!S52+'Wed (2)'!S52+Sun!S52+Sat!S52)</f>
        <v>1</v>
      </c>
      <c r="T52" s="65">
        <f>('Thurs (2)'!T52+Thurs!T52+'Tues '!T52+Wed!T52+Fri!T52+'Mon '!T52+'Wed (2)'!T52+Sun!T52+Sat!T52)</f>
        <v>2332</v>
      </c>
      <c r="U52" s="66">
        <f t="shared" si="4"/>
        <v>0.25</v>
      </c>
      <c r="V52" s="66">
        <f t="shared" si="5"/>
        <v>1.5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>
        <f>('Thurs (2)'!G53+Thurs!G53+'Tues '!G53+Wed!G53+Fri!G53+'Mon '!G53+'Wed (2)'!G53+Sun!G53+Sat!G53)</f>
        <v>13</v>
      </c>
      <c r="H53" s="65">
        <f>('Thurs (2)'!H53+Thurs!H53+'Tues '!H53+Wed!H53+Fri!H53+'Mon '!H53+'Wed (2)'!H53+Sun!H53+Sat!H53)</f>
        <v>8</v>
      </c>
      <c r="I53" s="65">
        <f>('Thurs (2)'!I53+Thurs!I53+'Tues '!I53+Wed!I53+Fri!I53+'Mon '!I53+'Wed (2)'!I53+Sun!I53+Sat!I53)</f>
        <v>2</v>
      </c>
      <c r="J53" s="65">
        <f>('Thurs (2)'!J53+Thurs!J53+'Tues '!J53+Wed!J53+Fri!J53+'Mon '!J53+'Wed (2)'!J53+Sun!J53+Sat!J53)</f>
        <v>6</v>
      </c>
      <c r="K53" s="65">
        <f>('Thurs (2)'!K53+Thurs!K53+'Tues '!K53+Wed!K53+Fri!K53+'Mon '!K53+'Wed (2)'!K53+Sun!K53+Sat!K53)</f>
        <v>1</v>
      </c>
      <c r="L53" s="65">
        <f>('Thurs (2)'!L53+Thurs!L53+'Tues '!L53+Wed!L53+Fri!L53+'Mon '!L53+'Wed (2)'!L53+Sun!L53+Sat!L53)</f>
        <v>4</v>
      </c>
      <c r="M53" s="65">
        <f>('Thurs (2)'!M53+Thurs!M53+'Tues '!M53+Wed!M53+Fri!M53+'Mon '!M53+'Wed (2)'!M53+Sun!M53+Sat!M53)</f>
        <v>12</v>
      </c>
      <c r="N53" s="65">
        <f>('Thurs (2)'!N53+Thurs!N53+'Tues '!N53+Wed!N53+Fri!N53+'Mon '!N53+'Wed (2)'!N53+Sun!N53+Sat!N53)</f>
        <v>2</v>
      </c>
      <c r="O53" s="65">
        <f>('Thurs (2)'!O53+Thurs!O53+'Tues '!O53+Wed!O53+Fri!O53+'Mon '!O53+'Wed (2)'!O53+Sun!O53+Sat!O53)</f>
        <v>1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6</v>
      </c>
      <c r="S53" s="65">
        <f>('Thurs (2)'!S53+Thurs!S53+'Tues '!S53+Wed!S53+Fri!S53+'Mon '!S53+'Wed (2)'!S53+Sun!S53+Sat!S53)</f>
        <v>1</v>
      </c>
      <c r="T53" s="65">
        <f>('Thurs (2)'!T53+Thurs!T53+'Tues '!T53+Wed!T53+Fri!T53+'Mon '!T53+'Wed (2)'!T53+Sun!T53+Sat!T53)</f>
        <v>4042</v>
      </c>
      <c r="U53" s="66">
        <f t="shared" si="4"/>
        <v>0.25</v>
      </c>
      <c r="V53" s="66">
        <f t="shared" si="5"/>
        <v>0.9230769231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>
        <f>('Thurs (2)'!G54+Thurs!G54+'Tues '!G54+Wed!G54+Fri!G54+'Mon '!G54+'Wed (2)'!G54+Sun!G54+Sat!G54)</f>
        <v>0</v>
      </c>
      <c r="H54" s="65">
        <f>('Thurs (2)'!H54+Thurs!H54+'Tues '!H54+Wed!H54+Fri!H54+'Mon '!H54+'Wed (2)'!H54+Sun!H54+Sat!H54)</f>
        <v>0</v>
      </c>
      <c r="I54" s="65">
        <f>('Thurs (2)'!I54+Thurs!I54+'Tues '!I54+Wed!I54+Fri!I54+'Mon '!I54+'Wed (2)'!I54+Sun!I54+Sat!I54)</f>
        <v>0</v>
      </c>
      <c r="J54" s="65">
        <f>('Thurs (2)'!J54+Thurs!J54+'Tues '!J54+Wed!J54+Fri!J54+'Mon '!J54+'Wed (2)'!J54+Sun!J54+Sat!J54)</f>
        <v>0</v>
      </c>
      <c r="K54" s="65">
        <f>('Thurs (2)'!K54+Thurs!K54+'Tues '!K54+Wed!K54+Fri!K54+'Mon '!K54+'Wed (2)'!K54+Sun!K54+Sat!K54)</f>
        <v>0</v>
      </c>
      <c r="L54" s="65">
        <f>('Thurs (2)'!L54+Thurs!L54+'Tues '!L54+Wed!L54+Fri!L54+'Mon '!L54+'Wed (2)'!L54+Sun!L54+Sat!L54)</f>
        <v>0</v>
      </c>
      <c r="M54" s="65">
        <f>('Thurs (2)'!M54+Thurs!M54+'Tues '!M54+Wed!M54+Fri!M54+'Mon '!M54+'Wed (2)'!M54+Sun!M54+Sat!M54)</f>
        <v>0</v>
      </c>
      <c r="N54" s="65">
        <f>('Thurs (2)'!N54+Thurs!N54+'Tues '!N54+Wed!N54+Fri!N54+'Mon '!N54+'Wed (2)'!N54+Sun!N54+Sat!N54)</f>
        <v>0</v>
      </c>
      <c r="O54" s="65">
        <f>('Thurs (2)'!O54+Thurs!O54+'Tues '!O54+Wed!O54+Fri!O54+'Mon '!O54+'Wed (2)'!O54+Sun!O54+Sat!O54)</f>
        <v>0</v>
      </c>
      <c r="P54" s="65">
        <f>('Thurs (2)'!P54+Thurs!P54+'Tues '!P54+Wed!P54+Fri!P54+'Mon '!P54+'Wed (2)'!P54+Sun!P54+Sat!P54)</f>
        <v>0</v>
      </c>
      <c r="Q54" s="65">
        <f>('Thurs (2)'!Q54+Thurs!Q54+'Tues '!Q54+Wed!Q54+Fri!Q54+'Mon '!Q54+'Wed (2)'!Q54+Sun!Q54+Sat!Q54)</f>
        <v>0</v>
      </c>
      <c r="R54" s="65">
        <f>('Thurs (2)'!R54+Thurs!R54+'Tues '!R54+Wed!R54+Fri!R54+'Mon '!R54+'Wed (2)'!R54+Sun!R54+Sat!R54)</f>
        <v>0</v>
      </c>
      <c r="S54" s="65">
        <f>('Thurs (2)'!S54+Thurs!S54+'Tues '!S54+Wed!S54+Fri!S54+'Mon '!S54+'Wed (2)'!S54+Sun!S54+Sat!S54)</f>
        <v>0</v>
      </c>
      <c r="T54" s="65">
        <f>('Thurs (2)'!T54+Thurs!T54+'Tues '!T54+Wed!T54+Fri!T54+'Mon '!T54+'Wed (2)'!T54+Sun!T54+Sat!T54)</f>
        <v>0</v>
      </c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>
        <f>('Thurs (2)'!G55+Thurs!G55+'Tues '!G55+Wed!G55+Fri!G55+'Mon '!G55+'Wed (2)'!G55+Sun!G55+Sat!G55)</f>
        <v>0</v>
      </c>
      <c r="H55" s="65">
        <f>('Thurs (2)'!H55+Thurs!H55+'Tues '!H55+Wed!H55+Fri!H55+'Mon '!H55+'Wed (2)'!H55+Sun!H55+Sat!H55)</f>
        <v>0</v>
      </c>
      <c r="I55" s="65">
        <f>('Thurs (2)'!I55+Thurs!I55+'Tues '!I55+Wed!I55+Fri!I55+'Mon '!I55+'Wed (2)'!I55+Sun!I55+Sat!I55)</f>
        <v>0</v>
      </c>
      <c r="J55" s="65">
        <f>('Thurs (2)'!J55+Thurs!J55+'Tues '!J55+Wed!J55+Fri!J55+'Mon '!J55+'Wed (2)'!J55+Sun!J55+Sat!J55)</f>
        <v>0</v>
      </c>
      <c r="K55" s="65">
        <f>('Thurs (2)'!K55+Thurs!K55+'Tues '!K55+Wed!K55+Fri!K55+'Mon '!K55+'Wed (2)'!K55+Sun!K55+Sat!K55)</f>
        <v>0</v>
      </c>
      <c r="L55" s="65">
        <f>('Thurs (2)'!L55+Thurs!L55+'Tues '!L55+Wed!L55+Fri!L55+'Mon '!L55+'Wed (2)'!L55+Sun!L55+Sat!L55)</f>
        <v>0</v>
      </c>
      <c r="M55" s="65">
        <f>('Thurs (2)'!M55+Thurs!M55+'Tues '!M55+Wed!M55+Fri!M55+'Mon '!M55+'Wed (2)'!M55+Sun!M55+Sat!M55)</f>
        <v>0</v>
      </c>
      <c r="N55" s="65">
        <f>('Thurs (2)'!N55+Thurs!N55+'Tues '!N55+Wed!N55+Fri!N55+'Mon '!N55+'Wed (2)'!N55+Sun!N55+Sat!N55)</f>
        <v>0</v>
      </c>
      <c r="O55" s="65">
        <f>('Thurs (2)'!O55+Thurs!O55+'Tues '!O55+Wed!O55+Fri!O55+'Mon '!O55+'Wed (2)'!O55+Sun!O55+Sat!O55)</f>
        <v>0</v>
      </c>
      <c r="P55" s="65">
        <f>('Thurs (2)'!P55+Thurs!P55+'Tues '!P55+Wed!P55+Fri!P55+'Mon '!P55+'Wed (2)'!P55+Sun!P55+Sat!P55)</f>
        <v>0</v>
      </c>
      <c r="Q55" s="65">
        <f>('Thurs (2)'!Q55+Thurs!Q55+'Tues '!Q55+Wed!Q55+Fri!Q55+'Mon '!Q55+'Wed (2)'!Q55+Sun!Q55+Sat!Q55)</f>
        <v>0</v>
      </c>
      <c r="R55" s="65">
        <f>('Thurs (2)'!R55+Thurs!R55+'Tues '!R55+Wed!R55+Fri!R55+'Mon '!R55+'Wed (2)'!R55+Sun!R55+Sat!R55)</f>
        <v>0</v>
      </c>
      <c r="S55" s="65">
        <f>('Thurs (2)'!S55+Thurs!S55+'Tues '!S55+Wed!S55+Fri!S55+'Mon '!S55+'Wed (2)'!S55+Sun!S55+Sat!S55)</f>
        <v>0</v>
      </c>
      <c r="T55" s="65">
        <f>('Thurs (2)'!T55+Thurs!T55+'Tues '!T55+Wed!T55+Fri!T55+'Mon '!T55+'Wed (2)'!T55+Sun!T55+Sat!T55)</f>
        <v>0</v>
      </c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>
        <f>('Thurs (2)'!G56+Thurs!G56+'Tues '!G56+Wed!G56+Fri!G56+'Mon '!G56+'Wed (2)'!G56+Sun!G56+Sat!G56)</f>
        <v>0</v>
      </c>
      <c r="H56" s="65">
        <f>('Thurs (2)'!H56+Thurs!H56+'Tues '!H56+Wed!H56+Fri!H56+'Mon '!H56+'Wed (2)'!H56+Sun!H56+Sat!H56)</f>
        <v>0</v>
      </c>
      <c r="I56" s="65">
        <f>('Thurs (2)'!I56+Thurs!I56+'Tues '!I56+Wed!I56+Fri!I56+'Mon '!I56+'Wed (2)'!I56+Sun!I56+Sat!I56)</f>
        <v>0</v>
      </c>
      <c r="J56" s="65">
        <f>('Thurs (2)'!J56+Thurs!J56+'Tues '!J56+Wed!J56+Fri!J56+'Mon '!J56+'Wed (2)'!J56+Sun!J56+Sat!J56)</f>
        <v>0</v>
      </c>
      <c r="K56" s="65">
        <f>('Thurs (2)'!K56+Thurs!K56+'Tues '!K56+Wed!K56+Fri!K56+'Mon '!K56+'Wed (2)'!K56+Sun!K56+Sat!K56)</f>
        <v>0</v>
      </c>
      <c r="L56" s="65">
        <f>('Thurs (2)'!L56+Thurs!L56+'Tues '!L56+Wed!L56+Fri!L56+'Mon '!L56+'Wed (2)'!L56+Sun!L56+Sat!L56)</f>
        <v>0</v>
      </c>
      <c r="M56" s="65">
        <f>('Thurs (2)'!M56+Thurs!M56+'Tues '!M56+Wed!M56+Fri!M56+'Mon '!M56+'Wed (2)'!M56+Sun!M56+Sat!M56)</f>
        <v>0</v>
      </c>
      <c r="N56" s="65">
        <f>('Thurs (2)'!N56+Thurs!N56+'Tues '!N56+Wed!N56+Fri!N56+'Mon '!N56+'Wed (2)'!N56+Sun!N56+Sat!N56)</f>
        <v>0</v>
      </c>
      <c r="O56" s="65">
        <f>('Thurs (2)'!O56+Thurs!O56+'Tues '!O56+Wed!O56+Fri!O56+'Mon '!O56+'Wed (2)'!O56+Sun!O56+Sat!O56)</f>
        <v>0</v>
      </c>
      <c r="P56" s="65">
        <f>('Thurs (2)'!P56+Thurs!P56+'Tues '!P56+Wed!P56+Fri!P56+'Mon '!P56+'Wed (2)'!P56+Sun!P56+Sat!P56)</f>
        <v>0</v>
      </c>
      <c r="Q56" s="65">
        <f>('Thurs (2)'!Q56+Thurs!Q56+'Tues '!Q56+Wed!Q56+Fri!Q56+'Mon '!Q56+'Wed (2)'!Q56+Sun!Q56+Sat!Q56)</f>
        <v>0</v>
      </c>
      <c r="R56" s="65">
        <f>('Thurs (2)'!R56+Thurs!R56+'Tues '!R56+Wed!R56+Fri!R56+'Mon '!R56+'Wed (2)'!R56+Sun!R56+Sat!R56)</f>
        <v>0</v>
      </c>
      <c r="S56" s="65">
        <f>('Thurs (2)'!S56+Thurs!S56+'Tues '!S56+Wed!S56+Fri!S56+'Mon '!S56+'Wed (2)'!S56+Sun!S56+Sat!S56)</f>
        <v>0</v>
      </c>
      <c r="T56" s="65">
        <f>('Thurs (2)'!T56+Thurs!T56+'Tues '!T56+Wed!T56+Fri!T56+'Mon '!T56+'Wed (2)'!T56+Sun!T56+Sat!T56)</f>
        <v>0</v>
      </c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13130</v>
      </c>
      <c r="D2" s="9"/>
      <c r="E2" s="8">
        <f t="shared" ref="E2:R2" si="1">SUM(E5,E11)</f>
        <v>3618</v>
      </c>
      <c r="F2" s="8">
        <f t="shared" si="1"/>
        <v>39</v>
      </c>
      <c r="G2" s="10">
        <f t="shared" si="1"/>
        <v>16</v>
      </c>
      <c r="H2" s="10">
        <f t="shared" si="1"/>
        <v>8</v>
      </c>
      <c r="I2" s="10">
        <f t="shared" si="1"/>
        <v>0</v>
      </c>
      <c r="J2" s="10">
        <f t="shared" si="1"/>
        <v>0</v>
      </c>
      <c r="K2" s="10">
        <f t="shared" si="1"/>
        <v>10</v>
      </c>
      <c r="L2" s="10">
        <f t="shared" si="1"/>
        <v>5</v>
      </c>
      <c r="M2" s="10">
        <f t="shared" si="1"/>
        <v>31</v>
      </c>
      <c r="N2" s="10">
        <f t="shared" si="1"/>
        <v>9</v>
      </c>
      <c r="O2" s="10">
        <f t="shared" si="1"/>
        <v>3</v>
      </c>
      <c r="P2" s="10">
        <f t="shared" si="1"/>
        <v>6</v>
      </c>
      <c r="Q2" s="10">
        <f t="shared" si="1"/>
        <v>2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1641.25</v>
      </c>
      <c r="F4" s="20">
        <f>IFERROR((G2+R2)/F2,0)</f>
        <v>0.4871794872</v>
      </c>
      <c r="G4" s="20">
        <f>IFERROR(H2/G2,0)</f>
        <v>0.5</v>
      </c>
      <c r="H4" s="19">
        <f>(C2/C4)</f>
        <v>364.7222222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1.9375</v>
      </c>
      <c r="N4" s="21"/>
      <c r="O4" s="20">
        <f>IFERROR(O2/N2,0)</f>
        <v>0.3333333333</v>
      </c>
      <c r="P4" s="22"/>
      <c r="Q4" s="20">
        <f>IFERROR(Q2/P2,0)</f>
        <v>0.3333333333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3618</v>
      </c>
      <c r="D5" s="26"/>
      <c r="E5" s="27">
        <f>SUMIFS(T:T,A:A,B5,D:D,"Y")</f>
        <v>3618</v>
      </c>
      <c r="F5" s="8">
        <f>SUMIF(A:A,B5,G:G)</f>
        <v>10</v>
      </c>
      <c r="G5" s="10">
        <f>SUMIF(A:A,B5,H:H)</f>
        <v>5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22</v>
      </c>
      <c r="N5" s="10">
        <f>SUMIF(A:A,B5,N:N)</f>
        <v>4</v>
      </c>
      <c r="O5" s="10">
        <f>SUMIF(A:A,B5,O:O)</f>
        <v>2</v>
      </c>
      <c r="P5" s="10">
        <f>SUMIF(A:A,B5,J:J)</f>
        <v>2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1206</v>
      </c>
      <c r="F7" s="20">
        <f>IFERROR((G5+R5)/F5,0)</f>
        <v>0.5</v>
      </c>
      <c r="G7" s="20">
        <f>IFERROR(H5/G5,0)</f>
        <v>0.6</v>
      </c>
      <c r="H7" s="19">
        <f>(C5/C7)</f>
        <v>212.8235294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4.4</v>
      </c>
      <c r="N7" s="21"/>
      <c r="O7" s="20">
        <f>IFERROR(O5/N5,0)</f>
        <v>0.5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3618</v>
      </c>
      <c r="D8" s="36"/>
      <c r="E8" s="37">
        <f>SUMIFS(T:T,B:B,B8,D:D,"Y")</f>
        <v>3618</v>
      </c>
      <c r="F8" s="38">
        <f>SUMIF(B19:B1129,B8,G19:G1129)</f>
        <v>10</v>
      </c>
      <c r="G8" s="39">
        <f>SUMIF(B19:B1129,B8,H19:H1129)</f>
        <v>5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22</v>
      </c>
      <c r="N8" s="39">
        <f>SUMIF(B19:B1129,B8,N19:N1129)</f>
        <v>4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1206</v>
      </c>
      <c r="F10" s="51">
        <f>IFERROR((G8+R8)/F8,0)</f>
        <v>0.5</v>
      </c>
      <c r="G10" s="51">
        <f>IFERROR(H8/G8,0)</f>
        <v>0.6</v>
      </c>
      <c r="H10" s="50">
        <f>(C8/C10)</f>
        <v>226.125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4.4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9512</v>
      </c>
      <c r="D11" s="26"/>
      <c r="E11" s="27">
        <f>SUMIFS(T:T,A:A,B11,D:D,"Y")</f>
        <v>0</v>
      </c>
      <c r="F11" s="8">
        <f>SUMIF(A:A,B11,G:G)</f>
        <v>29</v>
      </c>
      <c r="G11" s="10">
        <f>SUMIF(A:A,B11,H:H)</f>
        <v>11</v>
      </c>
      <c r="H11" s="10">
        <f>SUMIF(A:A,B11,I:I)</f>
        <v>5</v>
      </c>
      <c r="I11" s="10">
        <f>SUMIF(A:A,B11,P:P)</f>
        <v>0</v>
      </c>
      <c r="J11" s="10">
        <f>SUMIF(A:A,B11,Q:Q)</f>
        <v>0</v>
      </c>
      <c r="K11" s="10">
        <f>SUMIF(A:A,B11,R:R)</f>
        <v>9</v>
      </c>
      <c r="L11" s="10">
        <f>SUMIF(A:A,B11,S:S)</f>
        <v>4</v>
      </c>
      <c r="M11" s="10">
        <f>SUMIF(A:A,B11,M:M)</f>
        <v>9</v>
      </c>
      <c r="N11" s="10">
        <f>SUMIF(A:A,B11,N:N)</f>
        <v>5</v>
      </c>
      <c r="O11" s="10">
        <f>SUMIF(A:A,B11,O:O)</f>
        <v>1</v>
      </c>
      <c r="P11" s="10">
        <f>SUMIF(A:A,B11,J:J)</f>
        <v>4</v>
      </c>
      <c r="Q11" s="10">
        <f>SUMIF(A:A,B11,K:K)</f>
        <v>0</v>
      </c>
      <c r="R11" s="10">
        <f>SUMIF(A:A,B11,L:L)</f>
        <v>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1902.4</v>
      </c>
      <c r="F13" s="20">
        <f>IFERROR((G11+R11)/F11,0)</f>
        <v>0.4827586207</v>
      </c>
      <c r="G13" s="20">
        <f>IFERROR(H11/G11,0)</f>
        <v>0.4545454545</v>
      </c>
      <c r="H13" s="19">
        <f>(C11/C13)</f>
        <v>500.6315789</v>
      </c>
      <c r="I13" s="21"/>
      <c r="J13" s="20">
        <f>IFERROR(J11/I11,0)</f>
        <v>0</v>
      </c>
      <c r="K13" s="21"/>
      <c r="L13" s="20">
        <f>IFERROR(L11/K11,0)</f>
        <v>0.4444444444</v>
      </c>
      <c r="M13" s="22">
        <f>IFERROR(M11/SUM(R11+G11,0),"")</f>
        <v>0.6428571429</v>
      </c>
      <c r="N13" s="21"/>
      <c r="O13" s="20">
        <f>IFERROR(O11/N11,0)</f>
        <v>0.2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9512</v>
      </c>
      <c r="D14" s="36"/>
      <c r="E14" s="37">
        <f>SUMIFS(T:T,B:B,B14,D:D,"Y")</f>
        <v>0</v>
      </c>
      <c r="F14" s="38">
        <f>SUMIF(B19:B1129,B14,G19:G1129)</f>
        <v>29</v>
      </c>
      <c r="G14" s="39">
        <f>SUMIF(B19:B1129,B14,H19:H1129)</f>
        <v>11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9</v>
      </c>
      <c r="L14" s="39">
        <f>SUMIF(B19:B1129,B14,S19:S1129)</f>
        <v>4</v>
      </c>
      <c r="M14" s="39">
        <f>SUMIF(B19:B1129,B14,M19:M1129)</f>
        <v>9</v>
      </c>
      <c r="N14" s="39">
        <f>SUMIF(B19:B1129,B14,N19:N1129)</f>
        <v>5</v>
      </c>
      <c r="O14" s="38">
        <f>SUMIF(B19:B1129,B14,O19:O1129)</f>
        <v>1</v>
      </c>
      <c r="P14" s="39">
        <f>SUMIF(B19:B1129,B14,J19:J1129)</f>
        <v>4</v>
      </c>
      <c r="Q14" s="39">
        <f>SUMIF(B19:B1129,B14,K19:K1129)</f>
        <v>0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1902.4</v>
      </c>
      <c r="F16" s="51">
        <f>IFERROR((G14+R14)/F14,0)</f>
        <v>0.4827586207</v>
      </c>
      <c r="G16" s="51">
        <f>IFERROR(H14/G14,0)</f>
        <v>0.4545454545</v>
      </c>
      <c r="H16" s="50">
        <f>(C14/C16)</f>
        <v>528.4444444</v>
      </c>
      <c r="I16" s="46"/>
      <c r="J16" s="51">
        <f>IFERROR(J14/I14,0)</f>
        <v>0</v>
      </c>
      <c r="K16" s="46"/>
      <c r="L16" s="51">
        <f>IFERROR(L14/K14,0)</f>
        <v>0.4444444444</v>
      </c>
      <c r="M16" s="52">
        <f>IFERROR(M14/SUM(G14+R14,0),"")</f>
        <v>0.6428571429</v>
      </c>
      <c r="N16" s="46"/>
      <c r="O16" s="51">
        <f>IFERROR(O14/N14,0)</f>
        <v>0.2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4.0</v>
      </c>
      <c r="H28" s="105">
        <v>2.0</v>
      </c>
      <c r="I28" s="105">
        <v>2.0</v>
      </c>
      <c r="J28" s="105">
        <v>2.0</v>
      </c>
      <c r="K28" s="105">
        <v>2.0</v>
      </c>
      <c r="L28" s="105">
        <v>0.0</v>
      </c>
      <c r="M28" s="105">
        <v>10.0</v>
      </c>
      <c r="N28" s="105">
        <v>1.0</v>
      </c>
      <c r="O28" s="105">
        <v>1.0</v>
      </c>
      <c r="P28" s="105">
        <v>0.0</v>
      </c>
      <c r="Q28" s="105">
        <v>0.0</v>
      </c>
      <c r="R28" s="105">
        <v>1.0</v>
      </c>
      <c r="S28" s="105">
        <v>1.0</v>
      </c>
      <c r="T28" s="105">
        <v>3618.0</v>
      </c>
      <c r="U28" s="66">
        <f t="shared" si="2"/>
        <v>1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3.0</v>
      </c>
      <c r="H29" s="105">
        <v>1.0</v>
      </c>
      <c r="I29" s="105">
        <v>1.0</v>
      </c>
      <c r="J29" s="105">
        <v>0.0</v>
      </c>
      <c r="K29" s="105">
        <v>0.0</v>
      </c>
      <c r="L29" s="105">
        <v>0.0</v>
      </c>
      <c r="M29" s="105">
        <v>2.0</v>
      </c>
      <c r="N29" s="105">
        <v>1.0</v>
      </c>
      <c r="O29" s="105">
        <v>1.0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1</v>
      </c>
      <c r="V29" s="66">
        <f t="shared" si="3"/>
        <v>0.3333333333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105">
        <v>3.0</v>
      </c>
      <c r="H34" s="105">
        <v>2.0</v>
      </c>
      <c r="I34" s="105">
        <v>0.0</v>
      </c>
      <c r="J34" s="105">
        <v>0.0</v>
      </c>
      <c r="K34" s="105">
        <v>0.0</v>
      </c>
      <c r="L34" s="105">
        <v>0.0</v>
      </c>
      <c r="M34" s="105">
        <v>10.0</v>
      </c>
      <c r="N34" s="105">
        <v>2.0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0.6666666667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105">
        <v>7.0</v>
      </c>
      <c r="H41" s="105">
        <v>3.0</v>
      </c>
      <c r="I41" s="105">
        <v>3.0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3.0</v>
      </c>
      <c r="S41" s="105">
        <v>3.0</v>
      </c>
      <c r="T41" s="105">
        <v>4700.0</v>
      </c>
      <c r="U41" s="66">
        <f t="shared" si="4"/>
        <v>1</v>
      </c>
      <c r="V41" s="66">
        <f t="shared" si="5"/>
        <v>0.4285714286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105">
        <v>6.0</v>
      </c>
      <c r="H45" s="105">
        <v>2.0</v>
      </c>
      <c r="I45" s="105">
        <v>1.0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2.0</v>
      </c>
      <c r="S45" s="105">
        <v>1.0</v>
      </c>
      <c r="T45" s="105">
        <v>1280.0</v>
      </c>
      <c r="U45" s="66">
        <f t="shared" si="4"/>
        <v>0.5</v>
      </c>
      <c r="V45" s="66">
        <f t="shared" si="5"/>
        <v>0.3333333333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105">
        <v>8.0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3.0</v>
      </c>
      <c r="N48" s="105">
        <v>3.0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105">
        <v>1.0</v>
      </c>
      <c r="H51" s="105">
        <v>1.0</v>
      </c>
      <c r="I51" s="105">
        <v>0.0</v>
      </c>
      <c r="J51" s="105">
        <v>1.0</v>
      </c>
      <c r="K51" s="105">
        <v>0.0</v>
      </c>
      <c r="L51" s="105">
        <v>0.0</v>
      </c>
      <c r="M51" s="105">
        <v>2.0</v>
      </c>
      <c r="N51" s="105">
        <v>1.0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4"/>
        <v>0</v>
      </c>
      <c r="V51" s="66">
        <f t="shared" si="5"/>
        <v>1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105">
        <v>2.0</v>
      </c>
      <c r="H52" s="105">
        <v>2.0</v>
      </c>
      <c r="I52" s="105">
        <v>0.0</v>
      </c>
      <c r="J52" s="105">
        <v>2.0</v>
      </c>
      <c r="K52" s="105">
        <v>0.0</v>
      </c>
      <c r="L52" s="105">
        <v>2.0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2.0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2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105">
        <v>5.0</v>
      </c>
      <c r="H53" s="105">
        <v>3.0</v>
      </c>
      <c r="I53" s="105">
        <v>1.0</v>
      </c>
      <c r="J53" s="105">
        <v>1.0</v>
      </c>
      <c r="K53" s="105">
        <v>0.0</v>
      </c>
      <c r="L53" s="105">
        <v>1.0</v>
      </c>
      <c r="M53" s="105">
        <v>4.0</v>
      </c>
      <c r="N53" s="105">
        <v>1.0</v>
      </c>
      <c r="O53" s="105">
        <v>1.0</v>
      </c>
      <c r="P53" s="105">
        <v>0.0</v>
      </c>
      <c r="Q53" s="105">
        <v>0.0</v>
      </c>
      <c r="R53" s="105">
        <v>2.0</v>
      </c>
      <c r="S53" s="105">
        <v>0.0</v>
      </c>
      <c r="T53" s="105">
        <v>3532.0</v>
      </c>
      <c r="U53" s="66">
        <f t="shared" si="4"/>
        <v>0.3333333333</v>
      </c>
      <c r="V53" s="66">
        <f t="shared" si="5"/>
        <v>0.8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10363</v>
      </c>
      <c r="D2" s="9"/>
      <c r="E2" s="8">
        <f t="shared" ref="E2:R2" si="1">SUM(E5,E11)</f>
        <v>0</v>
      </c>
      <c r="F2" s="8">
        <f t="shared" si="1"/>
        <v>28</v>
      </c>
      <c r="G2" s="10">
        <f t="shared" si="1"/>
        <v>12</v>
      </c>
      <c r="H2" s="10">
        <f t="shared" si="1"/>
        <v>7</v>
      </c>
      <c r="I2" s="10">
        <f t="shared" si="1"/>
        <v>0</v>
      </c>
      <c r="J2" s="10">
        <f t="shared" si="1"/>
        <v>0</v>
      </c>
      <c r="K2" s="10">
        <f t="shared" si="1"/>
        <v>10</v>
      </c>
      <c r="L2" s="10">
        <f t="shared" si="1"/>
        <v>7</v>
      </c>
      <c r="M2" s="10">
        <f t="shared" si="1"/>
        <v>21</v>
      </c>
      <c r="N2" s="10">
        <f t="shared" si="1"/>
        <v>0</v>
      </c>
      <c r="O2" s="10">
        <f t="shared" si="1"/>
        <v>0</v>
      </c>
      <c r="P2" s="10">
        <f t="shared" si="1"/>
        <v>3</v>
      </c>
      <c r="Q2" s="10">
        <f t="shared" si="1"/>
        <v>2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1480.428571</v>
      </c>
      <c r="F4" s="20">
        <f>IFERROR((G2+R2)/F2,0)</f>
        <v>0.5</v>
      </c>
      <c r="G4" s="20">
        <f>IFERROR(H2/G2,0)</f>
        <v>0.5833333333</v>
      </c>
      <c r="H4" s="19">
        <f>(C2/C4)</f>
        <v>287.8611111</v>
      </c>
      <c r="I4" s="21"/>
      <c r="J4" s="20">
        <f>IFERROR(J2/I2,0)</f>
        <v>0</v>
      </c>
      <c r="K4" s="21"/>
      <c r="L4" s="20">
        <f>IFERROR(L2/K2,0)</f>
        <v>0.7</v>
      </c>
      <c r="M4" s="22">
        <f>IFERROR(M2/G2,0)</f>
        <v>1.75</v>
      </c>
      <c r="N4" s="21"/>
      <c r="O4" s="20">
        <f>IFERROR(O2/N2,0)</f>
        <v>0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5</v>
      </c>
      <c r="G5" s="10">
        <f>SUMIF(A:A,B5,H:H)</f>
        <v>2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13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0.4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6.5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5</v>
      </c>
      <c r="G8" s="39">
        <f>SUMIF(B19:B1129,B8,H19:H1129)</f>
        <v>2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13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0.4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6.5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10363</v>
      </c>
      <c r="D11" s="26"/>
      <c r="E11" s="27">
        <f>SUMIFS(T:T,A:A,B11,D:D,"Y")</f>
        <v>0</v>
      </c>
      <c r="F11" s="8">
        <f>SUMIF(A:A,B11,G:G)</f>
        <v>23</v>
      </c>
      <c r="G11" s="10">
        <f>SUMIF(A:A,B11,H:H)</f>
        <v>10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10</v>
      </c>
      <c r="L11" s="10">
        <f>SUMIF(A:A,B11,S:S)</f>
        <v>7</v>
      </c>
      <c r="M11" s="10">
        <f>SUMIF(A:A,B11,M:M)</f>
        <v>8</v>
      </c>
      <c r="N11" s="10">
        <f>SUMIF(A:A,B11,N:N)</f>
        <v>0</v>
      </c>
      <c r="O11" s="10">
        <f>SUMIF(A:A,B11,O:O)</f>
        <v>0</v>
      </c>
      <c r="P11" s="10">
        <f>SUMIF(A:A,B11,J:J)</f>
        <v>3</v>
      </c>
      <c r="Q11" s="10">
        <f>SUMIF(A:A,B11,K:K)</f>
        <v>2</v>
      </c>
      <c r="R11" s="10">
        <f>SUMIF(A:A,B11,L:L)</f>
        <v>2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1480.428571</v>
      </c>
      <c r="F13" s="20">
        <f>IFERROR((G11+R11)/F11,0)</f>
        <v>0.5217391304</v>
      </c>
      <c r="G13" s="20">
        <f>IFERROR(H11/G11,0)</f>
        <v>0.7</v>
      </c>
      <c r="H13" s="19">
        <f>(C11/C13)</f>
        <v>545.4210526</v>
      </c>
      <c r="I13" s="21"/>
      <c r="J13" s="20">
        <f>IFERROR(J11/I11,0)</f>
        <v>0</v>
      </c>
      <c r="K13" s="21"/>
      <c r="L13" s="20">
        <f>IFERROR(L11/K11,0)</f>
        <v>0.7</v>
      </c>
      <c r="M13" s="22">
        <f>IFERROR(M11/SUM(R11+G11,0),"")</f>
        <v>0.6666666667</v>
      </c>
      <c r="N13" s="21"/>
      <c r="O13" s="20">
        <f>IFERROR(O11/N11,0)</f>
        <v>0</v>
      </c>
      <c r="P13" s="22"/>
      <c r="Q13" s="20">
        <f>IFERROR(Q11/P11,0)</f>
        <v>0.6666666667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10363</v>
      </c>
      <c r="D14" s="36"/>
      <c r="E14" s="37">
        <f>SUMIFS(T:T,B:B,B14,D:D,"Y")</f>
        <v>0</v>
      </c>
      <c r="F14" s="38">
        <f>SUMIF(B19:B1129,B14,G19:G1129)</f>
        <v>23</v>
      </c>
      <c r="G14" s="39">
        <f>SUMIF(B19:B1129,B14,H19:H1129)</f>
        <v>10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10</v>
      </c>
      <c r="L14" s="39">
        <f>SUMIF(B19:B1129,B14,S19:S1129)</f>
        <v>7</v>
      </c>
      <c r="M14" s="39">
        <f>SUMIF(B19:B1129,B14,M19:M1129)</f>
        <v>8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3</v>
      </c>
      <c r="Q14" s="39">
        <f>SUMIF(B19:B1129,B14,K19:K1129)</f>
        <v>2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1480.428571</v>
      </c>
      <c r="F16" s="51">
        <f>IFERROR((G14+R14)/F14,0)</f>
        <v>0.5217391304</v>
      </c>
      <c r="G16" s="51">
        <f>IFERROR(H14/G14,0)</f>
        <v>0.7</v>
      </c>
      <c r="H16" s="50">
        <f>(C14/C16)</f>
        <v>575.7222222</v>
      </c>
      <c r="I16" s="46"/>
      <c r="J16" s="51">
        <f>IFERROR(J14/I14,0)</f>
        <v>0</v>
      </c>
      <c r="K16" s="46"/>
      <c r="L16" s="51">
        <f>IFERROR(L14/K14,0)</f>
        <v>0.7</v>
      </c>
      <c r="M16" s="52">
        <f>IFERROR(M14/SUM(G14+R14,0),"")</f>
        <v>0.6666666667</v>
      </c>
      <c r="N16" s="46"/>
      <c r="O16" s="51">
        <f>IFERROR(O14/N14,0)</f>
        <v>0</v>
      </c>
      <c r="P16" s="53"/>
      <c r="Q16" s="51">
        <f>IFERROR(Q14/P14,0)</f>
        <v>0.6666666667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105">
        <v>2.0</v>
      </c>
      <c r="H32" s="105">
        <v>1.0</v>
      </c>
      <c r="I32" s="105">
        <v>0.0</v>
      </c>
      <c r="J32" s="105">
        <v>0.0</v>
      </c>
      <c r="K32" s="105">
        <v>0.0</v>
      </c>
      <c r="L32" s="105">
        <v>0.0</v>
      </c>
      <c r="M32" s="105">
        <v>13.0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0.5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105">
        <v>3.0</v>
      </c>
      <c r="H33" s="105">
        <v>1.0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0.3333333333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110">
        <v>0.0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105">
        <v>5.0</v>
      </c>
      <c r="H41" s="105">
        <v>2.0</v>
      </c>
      <c r="I41" s="105">
        <v>2.0</v>
      </c>
      <c r="J41" s="105">
        <v>1.0</v>
      </c>
      <c r="K41" s="105">
        <v>1.0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2.0</v>
      </c>
      <c r="S41" s="105">
        <v>2.0</v>
      </c>
      <c r="T41" s="105">
        <v>2000.0</v>
      </c>
      <c r="U41" s="66">
        <f t="shared" si="4"/>
        <v>1</v>
      </c>
      <c r="V41" s="66">
        <f t="shared" si="5"/>
        <v>0.4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105">
        <v>6.0</v>
      </c>
      <c r="H45" s="105">
        <v>2.0</v>
      </c>
      <c r="I45" s="105">
        <v>1.0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2.0</v>
      </c>
      <c r="S45" s="105">
        <v>1.0</v>
      </c>
      <c r="T45" s="105">
        <v>1441.0</v>
      </c>
      <c r="U45" s="66">
        <f t="shared" si="4"/>
        <v>0.5</v>
      </c>
      <c r="V45" s="66">
        <f t="shared" si="5"/>
        <v>0.3333333333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105">
        <v>3.0</v>
      </c>
      <c r="H47" s="105">
        <v>3.0</v>
      </c>
      <c r="I47" s="105">
        <v>2.0</v>
      </c>
      <c r="J47" s="105">
        <v>0.0</v>
      </c>
      <c r="K47" s="105">
        <v>0.0</v>
      </c>
      <c r="L47" s="105">
        <v>0.0</v>
      </c>
      <c r="M47" s="105">
        <v>3.0</v>
      </c>
      <c r="N47" s="105">
        <v>0.0</v>
      </c>
      <c r="O47" s="105">
        <v>0.0</v>
      </c>
      <c r="P47" s="105">
        <v>0.0</v>
      </c>
      <c r="Q47" s="105">
        <v>0.0</v>
      </c>
      <c r="R47" s="105">
        <v>3.0</v>
      </c>
      <c r="S47" s="105">
        <v>2.0</v>
      </c>
      <c r="T47" s="105">
        <v>3300.0</v>
      </c>
      <c r="U47" s="66">
        <f t="shared" si="4"/>
        <v>0.6666666667</v>
      </c>
      <c r="V47" s="66">
        <f t="shared" si="5"/>
        <v>1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105">
        <v>6.0</v>
      </c>
      <c r="H48" s="105">
        <v>1.0</v>
      </c>
      <c r="I48" s="105">
        <v>1.0</v>
      </c>
      <c r="J48" s="105">
        <v>0.0</v>
      </c>
      <c r="K48" s="105">
        <v>0.0</v>
      </c>
      <c r="L48" s="105">
        <v>2.0</v>
      </c>
      <c r="M48" s="105">
        <v>3.0</v>
      </c>
      <c r="N48" s="105">
        <v>0.0</v>
      </c>
      <c r="O48" s="105">
        <v>0.0</v>
      </c>
      <c r="P48" s="105">
        <v>0.0</v>
      </c>
      <c r="Q48" s="105">
        <v>0.0</v>
      </c>
      <c r="R48" s="105">
        <v>1.0</v>
      </c>
      <c r="S48" s="105">
        <v>1.0</v>
      </c>
      <c r="T48" s="105">
        <v>2700.0</v>
      </c>
      <c r="U48" s="66">
        <f t="shared" si="4"/>
        <v>1</v>
      </c>
      <c r="V48" s="66">
        <f t="shared" si="5"/>
        <v>0.5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105">
        <v>3.0</v>
      </c>
      <c r="H51" s="105">
        <v>2.0</v>
      </c>
      <c r="I51" s="105">
        <v>1.0</v>
      </c>
      <c r="J51" s="105">
        <v>2.0</v>
      </c>
      <c r="K51" s="105">
        <v>1.0</v>
      </c>
      <c r="L51" s="105">
        <v>0.0</v>
      </c>
      <c r="M51" s="105">
        <v>2.0</v>
      </c>
      <c r="N51" s="105">
        <v>0.0</v>
      </c>
      <c r="O51" s="105">
        <v>0.0</v>
      </c>
      <c r="P51" s="105">
        <v>0.0</v>
      </c>
      <c r="Q51" s="105">
        <v>0.0</v>
      </c>
      <c r="R51" s="105">
        <v>2.0</v>
      </c>
      <c r="S51" s="105">
        <v>1.0</v>
      </c>
      <c r="T51" s="105">
        <v>922.0</v>
      </c>
      <c r="U51" s="66">
        <f t="shared" si="4"/>
        <v>0.5</v>
      </c>
      <c r="V51" s="66">
        <f t="shared" si="5"/>
        <v>0.6666666667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3994</v>
      </c>
      <c r="D2" s="9"/>
      <c r="E2" s="8">
        <f t="shared" ref="E2:R2" si="1">SUM(E5,E11)</f>
        <v>1749</v>
      </c>
      <c r="F2" s="8">
        <f t="shared" si="1"/>
        <v>8</v>
      </c>
      <c r="G2" s="10">
        <f t="shared" si="1"/>
        <v>5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2</v>
      </c>
      <c r="M2" s="10">
        <f t="shared" si="1"/>
        <v>15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1331.333333</v>
      </c>
      <c r="F4" s="20">
        <f>IFERROR((G2+R2)/F2,0)</f>
        <v>0.625</v>
      </c>
      <c r="G4" s="20">
        <f>IFERROR(H2/G2,0)</f>
        <v>0.6</v>
      </c>
      <c r="H4" s="19">
        <f>(C2/C4)</f>
        <v>110.9444444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3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1749</v>
      </c>
      <c r="D5" s="26"/>
      <c r="E5" s="27">
        <f>SUMIFS(T:T,A:A,B5,D:D,"Y")</f>
        <v>1749</v>
      </c>
      <c r="F5" s="8">
        <f>SUMIF(A:A,B5,G:G)</f>
        <v>2</v>
      </c>
      <c r="G5" s="10">
        <f>SUMIF(A:A,B5,H:H)</f>
        <v>2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3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1749</v>
      </c>
      <c r="F7" s="20">
        <f>IFERROR((G5+R5)/F5,0)</f>
        <v>1</v>
      </c>
      <c r="G7" s="20">
        <f>IFERROR(H5/G5,0)</f>
        <v>0.5</v>
      </c>
      <c r="H7" s="19">
        <f>(C5/C7)</f>
        <v>102.8823529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1.5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1749</v>
      </c>
      <c r="D8" s="36"/>
      <c r="E8" s="37">
        <f>SUMIFS(T:T,B:B,B8,D:D,"Y")</f>
        <v>1749</v>
      </c>
      <c r="F8" s="38">
        <f>SUMIF(B19:B1129,B8,G19:G1129)</f>
        <v>2</v>
      </c>
      <c r="G8" s="39">
        <f>SUMIF(B19:B1129,B8,H19:H1129)</f>
        <v>2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3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1749</v>
      </c>
      <c r="F10" s="51">
        <f>IFERROR((G8+R8)/F8,0)</f>
        <v>1</v>
      </c>
      <c r="G10" s="51">
        <f>IFERROR(H8/G8,0)</f>
        <v>0.5</v>
      </c>
      <c r="H10" s="50">
        <f>(C8/C10)</f>
        <v>109.3125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2245</v>
      </c>
      <c r="D11" s="26"/>
      <c r="E11" s="27">
        <f>SUMIFS(T:T,A:A,B11,D:D,"Y")</f>
        <v>0</v>
      </c>
      <c r="F11" s="8">
        <f>SUMIF(A:A,B11,G:G)</f>
        <v>6</v>
      </c>
      <c r="G11" s="10">
        <f>SUMIF(A:A,B11,H:H)</f>
        <v>3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3</v>
      </c>
      <c r="L11" s="10">
        <f>SUMIF(A:A,B11,S:S)</f>
        <v>2</v>
      </c>
      <c r="M11" s="10">
        <f>SUMIF(A:A,B11,M:M)</f>
        <v>12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1122.5</v>
      </c>
      <c r="F13" s="20">
        <f>IFERROR((G11+R11)/F11,0)</f>
        <v>0.5</v>
      </c>
      <c r="G13" s="20">
        <f>IFERROR(H11/G11,0)</f>
        <v>0.6666666667</v>
      </c>
      <c r="H13" s="19">
        <f>(C11/C13)</f>
        <v>118.1578947</v>
      </c>
      <c r="I13" s="21"/>
      <c r="J13" s="20">
        <f>IFERROR(J11/I11,0)</f>
        <v>0</v>
      </c>
      <c r="K13" s="21"/>
      <c r="L13" s="20">
        <f>IFERROR(L11/K11,0)</f>
        <v>0.6666666667</v>
      </c>
      <c r="M13" s="22">
        <f>IFERROR(M11/SUM(R11+G11,0),"")</f>
        <v>4</v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2245</v>
      </c>
      <c r="D14" s="36"/>
      <c r="E14" s="37">
        <f>SUMIFS(T:T,B:B,B14,D:D,"Y")</f>
        <v>0</v>
      </c>
      <c r="F14" s="38">
        <f>SUMIF(B19:B1129,B14,G19:G1129)</f>
        <v>6</v>
      </c>
      <c r="G14" s="39">
        <f>SUMIF(B19:B1129,B14,H19:H1129)</f>
        <v>3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3</v>
      </c>
      <c r="L14" s="39">
        <f>SUMIF(B19:B1129,B14,S19:S1129)</f>
        <v>2</v>
      </c>
      <c r="M14" s="39">
        <f>SUMIF(B19:B1129,B14,M19:M1129)</f>
        <v>12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1122.5</v>
      </c>
      <c r="F16" s="51">
        <f>IFERROR((G14+R14)/F14,0)</f>
        <v>0.5</v>
      </c>
      <c r="G16" s="51">
        <f>IFERROR(H14/G14,0)</f>
        <v>0.6666666667</v>
      </c>
      <c r="H16" s="50">
        <f>(C14/C16)</f>
        <v>124.7222222</v>
      </c>
      <c r="I16" s="46"/>
      <c r="J16" s="51">
        <f>IFERROR(J14/I14,0)</f>
        <v>0</v>
      </c>
      <c r="K16" s="46"/>
      <c r="L16" s="51">
        <f>IFERROR(L14/K14,0)</f>
        <v>0.6666666667</v>
      </c>
      <c r="M16" s="52">
        <f>IFERROR(M14/SUM(G14+R14,0),"")</f>
        <v>4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105">
        <v>2.0</v>
      </c>
      <c r="H32" s="105">
        <v>2.0</v>
      </c>
      <c r="I32" s="105">
        <v>1.0</v>
      </c>
      <c r="J32" s="105">
        <v>0.0</v>
      </c>
      <c r="K32" s="105">
        <v>1.0</v>
      </c>
      <c r="L32" s="105">
        <v>0.0</v>
      </c>
      <c r="M32" s="105">
        <v>3.0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1749.0</v>
      </c>
      <c r="U32" s="66">
        <f t="shared" si="2"/>
        <v>0.5</v>
      </c>
      <c r="V32" s="66">
        <f t="shared" si="3"/>
        <v>1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105">
        <v>4.0</v>
      </c>
      <c r="H41" s="105">
        <v>1.0</v>
      </c>
      <c r="I41" s="105">
        <v>1.0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1225.0</v>
      </c>
      <c r="U41" s="66">
        <f t="shared" si="4"/>
        <v>1</v>
      </c>
      <c r="V41" s="66">
        <f t="shared" si="5"/>
        <v>0.25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105">
        <v>2.0</v>
      </c>
      <c r="H47" s="105">
        <v>2.0</v>
      </c>
      <c r="I47" s="105">
        <v>1.0</v>
      </c>
      <c r="J47" s="105">
        <v>0.0</v>
      </c>
      <c r="K47" s="105">
        <v>0.0</v>
      </c>
      <c r="L47" s="105">
        <v>0.0</v>
      </c>
      <c r="M47" s="105">
        <v>12.0</v>
      </c>
      <c r="N47" s="105">
        <v>0.0</v>
      </c>
      <c r="O47" s="105">
        <v>0.0</v>
      </c>
      <c r="P47" s="105">
        <v>0.0</v>
      </c>
      <c r="Q47" s="105">
        <v>0.0</v>
      </c>
      <c r="R47" s="105">
        <v>2.0</v>
      </c>
      <c r="S47" s="105">
        <v>1.0</v>
      </c>
      <c r="T47" s="105">
        <v>1020.0</v>
      </c>
      <c r="U47" s="66">
        <f t="shared" si="4"/>
        <v>0.5</v>
      </c>
      <c r="V47" s="66">
        <f t="shared" si="5"/>
        <v>1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9767</v>
      </c>
      <c r="D2" s="9"/>
      <c r="E2" s="8">
        <f t="shared" ref="E2:R2" si="1">SUM(E5,E11)</f>
        <v>0</v>
      </c>
      <c r="F2" s="8">
        <f t="shared" si="1"/>
        <v>26</v>
      </c>
      <c r="G2" s="10">
        <f t="shared" si="1"/>
        <v>13</v>
      </c>
      <c r="H2" s="10">
        <f t="shared" si="1"/>
        <v>7</v>
      </c>
      <c r="I2" s="10">
        <f t="shared" si="1"/>
        <v>0</v>
      </c>
      <c r="J2" s="10">
        <f t="shared" si="1"/>
        <v>0</v>
      </c>
      <c r="K2" s="10">
        <f t="shared" si="1"/>
        <v>13</v>
      </c>
      <c r="L2" s="10">
        <f t="shared" si="1"/>
        <v>7</v>
      </c>
      <c r="M2" s="10">
        <f t="shared" si="1"/>
        <v>18</v>
      </c>
      <c r="N2" s="10">
        <f t="shared" si="1"/>
        <v>1</v>
      </c>
      <c r="O2" s="10">
        <f t="shared" si="1"/>
        <v>0</v>
      </c>
      <c r="P2" s="10">
        <f t="shared" si="1"/>
        <v>12</v>
      </c>
      <c r="Q2" s="10">
        <f t="shared" si="1"/>
        <v>5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1395.285714</v>
      </c>
      <c r="F4" s="20">
        <f>IFERROR((G2+R2)/F2,0)</f>
        <v>0.6538461538</v>
      </c>
      <c r="G4" s="20">
        <f>IFERROR(H2/G2,0)</f>
        <v>0.5384615385</v>
      </c>
      <c r="H4" s="19">
        <f>(C2/C4)</f>
        <v>271.3055556</v>
      </c>
      <c r="I4" s="21"/>
      <c r="J4" s="20">
        <f>IFERROR(J2/I2,0)</f>
        <v>0</v>
      </c>
      <c r="K4" s="21"/>
      <c r="L4" s="20">
        <f>IFERROR(L2/K2,0)</f>
        <v>0.5384615385</v>
      </c>
      <c r="M4" s="22">
        <f>IFERROR(M2/G2,0)</f>
        <v>1.384615385</v>
      </c>
      <c r="N4" s="21"/>
      <c r="O4" s="20">
        <f>IFERROR(O2/N2,0)</f>
        <v>0</v>
      </c>
      <c r="P4" s="22"/>
      <c r="Q4" s="20">
        <f>IFERROR(Q2/P2,0)</f>
        <v>0.4166666667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3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3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9767</v>
      </c>
      <c r="D11" s="26"/>
      <c r="E11" s="27">
        <f>SUMIFS(T:T,A:A,B11,D:D,"Y")</f>
        <v>0</v>
      </c>
      <c r="F11" s="8">
        <f>SUMIF(A:A,B11,G:G)</f>
        <v>23</v>
      </c>
      <c r="G11" s="10">
        <f>SUMIF(A:A,B11,H:H)</f>
        <v>13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13</v>
      </c>
      <c r="L11" s="10">
        <f>SUMIF(A:A,B11,S:S)</f>
        <v>7</v>
      </c>
      <c r="M11" s="10">
        <f>SUMIF(A:A,B11,M:M)</f>
        <v>18</v>
      </c>
      <c r="N11" s="10">
        <f>SUMIF(A:A,B11,N:N)</f>
        <v>1</v>
      </c>
      <c r="O11" s="10">
        <f>SUMIF(A:A,B11,O:O)</f>
        <v>0</v>
      </c>
      <c r="P11" s="10">
        <f>SUMIF(A:A,B11,J:J)</f>
        <v>12</v>
      </c>
      <c r="Q11" s="10">
        <f>SUMIF(A:A,B11,K:K)</f>
        <v>5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1395.285714</v>
      </c>
      <c r="F13" s="20">
        <f>IFERROR((G11+R11)/F11,0)</f>
        <v>0.7391304348</v>
      </c>
      <c r="G13" s="20">
        <f>IFERROR(H11/G11,0)</f>
        <v>0.5384615385</v>
      </c>
      <c r="H13" s="19">
        <f>(C11/C13)</f>
        <v>514.0526316</v>
      </c>
      <c r="I13" s="21"/>
      <c r="J13" s="20">
        <f>IFERROR(J11/I11,0)</f>
        <v>0</v>
      </c>
      <c r="K13" s="21"/>
      <c r="L13" s="20">
        <f>IFERROR(L11/K11,0)</f>
        <v>0.5384615385</v>
      </c>
      <c r="M13" s="22">
        <f>IFERROR(M11/SUM(R11+G11,0),"")</f>
        <v>1.058823529</v>
      </c>
      <c r="N13" s="21"/>
      <c r="O13" s="20">
        <f>IFERROR(O11/N11,0)</f>
        <v>0</v>
      </c>
      <c r="P13" s="22"/>
      <c r="Q13" s="20">
        <f>IFERROR(Q11/P11,0)</f>
        <v>0.4166666667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9767</v>
      </c>
      <c r="D14" s="36"/>
      <c r="E14" s="37">
        <f>SUMIFS(T:T,B:B,B14,D:D,"Y")</f>
        <v>0</v>
      </c>
      <c r="F14" s="38">
        <f>SUMIF(B19:B1129,B14,G19:G1129)</f>
        <v>23</v>
      </c>
      <c r="G14" s="39">
        <f>SUMIF(B19:B1129,B14,H19:H1129)</f>
        <v>13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13</v>
      </c>
      <c r="L14" s="39">
        <f>SUMIF(B19:B1129,B14,S19:S1129)</f>
        <v>7</v>
      </c>
      <c r="M14" s="39">
        <f>SUMIF(B19:B1129,B14,M19:M1129)</f>
        <v>18</v>
      </c>
      <c r="N14" s="39">
        <f>SUMIF(B19:B1129,B14,N19:N1129)</f>
        <v>1</v>
      </c>
      <c r="O14" s="38">
        <f>SUMIF(B19:B1129,B14,O19:O1129)</f>
        <v>0</v>
      </c>
      <c r="P14" s="39">
        <f>SUMIF(B19:B1129,B14,J19:J1129)</f>
        <v>12</v>
      </c>
      <c r="Q14" s="39">
        <f>SUMIF(B19:B1129,B14,K19:K1129)</f>
        <v>5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1395.285714</v>
      </c>
      <c r="F16" s="51">
        <f>IFERROR((G14+R14)/F14,0)</f>
        <v>0.7391304348</v>
      </c>
      <c r="G16" s="51">
        <f>IFERROR(H14/G14,0)</f>
        <v>0.5384615385</v>
      </c>
      <c r="H16" s="50">
        <f>(C14/C16)</f>
        <v>542.6111111</v>
      </c>
      <c r="I16" s="46"/>
      <c r="J16" s="51">
        <f>IFERROR(J14/I14,0)</f>
        <v>0</v>
      </c>
      <c r="K16" s="46"/>
      <c r="L16" s="51">
        <f>IFERROR(L14/K14,0)</f>
        <v>0.5384615385</v>
      </c>
      <c r="M16" s="52">
        <f>IFERROR(M14/SUM(G14+R14,0),"")</f>
        <v>1.058823529</v>
      </c>
      <c r="N16" s="46"/>
      <c r="O16" s="51">
        <f>IFERROR(O14/N14,0)</f>
        <v>0</v>
      </c>
      <c r="P16" s="53"/>
      <c r="Q16" s="51">
        <f>IFERROR(Q14/P14,0)</f>
        <v>0.4166666667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>IFERROR(I20/H20,0)</f>
        <v>0</v>
      </c>
      <c r="V20" s="66">
        <f t="shared" ref="V20:V36" si="2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110">
        <v>0.0</v>
      </c>
      <c r="V21" s="66">
        <f t="shared" si="2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ref="U22:U36" si="3">IFERROR(I22/H22,0)</f>
        <v>0</v>
      </c>
      <c r="V22" s="66">
        <f t="shared" si="2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3"/>
        <v>0</v>
      </c>
      <c r="V23" s="66">
        <f t="shared" si="2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3"/>
        <v>0</v>
      </c>
      <c r="V24" s="66">
        <f t="shared" si="2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3"/>
        <v>0</v>
      </c>
      <c r="V25" s="66">
        <f t="shared" si="2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3"/>
        <v>0</v>
      </c>
      <c r="V26" s="66">
        <f t="shared" si="2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3"/>
        <v>0</v>
      </c>
      <c r="V27" s="66">
        <f t="shared" si="2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3"/>
        <v>0</v>
      </c>
      <c r="V28" s="66">
        <f t="shared" si="2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3"/>
        <v>0</v>
      </c>
      <c r="V29" s="66">
        <f t="shared" si="2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3"/>
        <v>0</v>
      </c>
      <c r="V30" s="66">
        <f t="shared" si="2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3"/>
        <v>0</v>
      </c>
      <c r="V31" s="66">
        <f t="shared" si="2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3"/>
        <v>0</v>
      </c>
      <c r="V32" s="66">
        <f t="shared" si="2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3"/>
        <v>0</v>
      </c>
      <c r="V33" s="66">
        <f t="shared" si="2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3"/>
        <v>0</v>
      </c>
      <c r="V34" s="66">
        <f t="shared" si="2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3"/>
        <v>0</v>
      </c>
      <c r="V35" s="66">
        <f t="shared" si="2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3"/>
        <v>0</v>
      </c>
      <c r="V36" s="66">
        <f t="shared" si="2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105">
        <v>2.0</v>
      </c>
      <c r="H41" s="105">
        <v>1.0</v>
      </c>
      <c r="I41" s="105">
        <v>1.0</v>
      </c>
      <c r="J41" s="105">
        <v>1.0</v>
      </c>
      <c r="K41" s="105">
        <v>1.0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1120.0</v>
      </c>
      <c r="U41" s="66">
        <f t="shared" si="4"/>
        <v>1</v>
      </c>
      <c r="V41" s="66">
        <f t="shared" si="5"/>
        <v>0.5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105">
        <v>5.0</v>
      </c>
      <c r="H44" s="105">
        <v>2.0</v>
      </c>
      <c r="I44" s="105">
        <v>1.0</v>
      </c>
      <c r="J44" s="105">
        <v>2.0</v>
      </c>
      <c r="K44" s="105">
        <v>1.0</v>
      </c>
      <c r="L44" s="105">
        <v>1.0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1.0</v>
      </c>
      <c r="T44" s="105">
        <v>1600.0</v>
      </c>
      <c r="U44" s="66">
        <f t="shared" si="4"/>
        <v>0.5</v>
      </c>
      <c r="V44" s="66">
        <f t="shared" si="5"/>
        <v>0.6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105">
        <v>4.0</v>
      </c>
      <c r="H47" s="105">
        <v>2.0</v>
      </c>
      <c r="I47" s="105">
        <v>2.0</v>
      </c>
      <c r="J47" s="105">
        <v>0.0</v>
      </c>
      <c r="K47" s="105">
        <v>0.0</v>
      </c>
      <c r="L47" s="105">
        <v>0.0</v>
      </c>
      <c r="M47" s="105">
        <v>5.0</v>
      </c>
      <c r="N47" s="105">
        <v>0.0</v>
      </c>
      <c r="O47" s="105">
        <v>0.0</v>
      </c>
      <c r="P47" s="105">
        <v>0.0</v>
      </c>
      <c r="Q47" s="105">
        <v>0.0</v>
      </c>
      <c r="R47" s="105">
        <v>2.0</v>
      </c>
      <c r="S47" s="105">
        <v>2.0</v>
      </c>
      <c r="T47" s="105">
        <v>3320.0</v>
      </c>
      <c r="U47" s="66">
        <f t="shared" si="4"/>
        <v>1</v>
      </c>
      <c r="V47" s="66">
        <f t="shared" si="5"/>
        <v>0.5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105">
        <v>2.0</v>
      </c>
      <c r="H51" s="105">
        <v>1.0</v>
      </c>
      <c r="I51" s="105">
        <v>1.0</v>
      </c>
      <c r="J51" s="105">
        <v>2.0</v>
      </c>
      <c r="K51" s="105">
        <v>1.0</v>
      </c>
      <c r="L51" s="105">
        <v>0.0</v>
      </c>
      <c r="M51" s="105">
        <v>5.0</v>
      </c>
      <c r="N51" s="105">
        <v>0.0</v>
      </c>
      <c r="O51" s="105">
        <v>0.0</v>
      </c>
      <c r="P51" s="105">
        <v>0.0</v>
      </c>
      <c r="Q51" s="105">
        <v>0.0</v>
      </c>
      <c r="R51" s="105">
        <v>2.0</v>
      </c>
      <c r="S51" s="105">
        <v>1.0</v>
      </c>
      <c r="T51" s="105">
        <v>885.0</v>
      </c>
      <c r="U51" s="66">
        <f t="shared" si="4"/>
        <v>1</v>
      </c>
      <c r="V51" s="66">
        <f t="shared" si="5"/>
        <v>0.5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105">
        <v>2.0</v>
      </c>
      <c r="H52" s="105">
        <v>2.0</v>
      </c>
      <c r="I52" s="105">
        <v>1.0</v>
      </c>
      <c r="J52" s="105">
        <v>2.0</v>
      </c>
      <c r="K52" s="105">
        <v>1.0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2.0</v>
      </c>
      <c r="S52" s="105">
        <v>1.0</v>
      </c>
      <c r="T52" s="105">
        <v>2332.0</v>
      </c>
      <c r="U52" s="66">
        <f t="shared" si="4"/>
        <v>0.5</v>
      </c>
      <c r="V52" s="66">
        <f t="shared" si="5"/>
        <v>1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105">
        <v>8.0</v>
      </c>
      <c r="H53" s="105">
        <v>5.0</v>
      </c>
      <c r="I53" s="105">
        <v>1.0</v>
      </c>
      <c r="J53" s="105">
        <v>5.0</v>
      </c>
      <c r="K53" s="105">
        <v>1.0</v>
      </c>
      <c r="L53" s="105">
        <v>3.0</v>
      </c>
      <c r="M53" s="105">
        <v>8.0</v>
      </c>
      <c r="N53" s="105">
        <v>1.0</v>
      </c>
      <c r="O53" s="105">
        <v>0.0</v>
      </c>
      <c r="P53" s="105">
        <v>0.0</v>
      </c>
      <c r="Q53" s="105">
        <v>0.0</v>
      </c>
      <c r="R53" s="105">
        <v>4.0</v>
      </c>
      <c r="S53" s="105">
        <v>1.0</v>
      </c>
      <c r="T53" s="105">
        <v>510.0</v>
      </c>
      <c r="U53" s="66">
        <f t="shared" si="4"/>
        <v>0.2</v>
      </c>
      <c r="V53" s="66">
        <f t="shared" si="5"/>
        <v>1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84</v>
      </c>
      <c r="B1" s="111" t="s">
        <v>85</v>
      </c>
      <c r="C1" s="111" t="s">
        <v>30</v>
      </c>
      <c r="D1" s="111" t="s">
        <v>86</v>
      </c>
      <c r="E1" s="111" t="s">
        <v>0</v>
      </c>
      <c r="F1" s="111" t="s">
        <v>87</v>
      </c>
      <c r="G1" s="111" t="s">
        <v>88</v>
      </c>
      <c r="H1" s="111" t="s">
        <v>89</v>
      </c>
      <c r="I1" s="111" t="s">
        <v>90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91</v>
      </c>
      <c r="B2" s="113" t="s">
        <v>92</v>
      </c>
      <c r="C2" s="113" t="s">
        <v>93</v>
      </c>
      <c r="D2" s="114">
        <v>46134.0</v>
      </c>
      <c r="E2" s="113">
        <v>1779.24</v>
      </c>
      <c r="F2" s="113" t="s">
        <v>94</v>
      </c>
      <c r="G2" s="113" t="s">
        <v>95</v>
      </c>
      <c r="H2" s="113" t="s">
        <v>96</v>
      </c>
      <c r="I2" s="113" t="s">
        <v>97</v>
      </c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>
      <c r="A3" s="113" t="s">
        <v>98</v>
      </c>
      <c r="B3" s="113" t="s">
        <v>99</v>
      </c>
      <c r="C3" s="113" t="s">
        <v>100</v>
      </c>
      <c r="D3" s="114">
        <v>46135.0</v>
      </c>
      <c r="E3" s="113">
        <v>669.24</v>
      </c>
      <c r="F3" s="113" t="s">
        <v>94</v>
      </c>
      <c r="G3" s="113" t="s">
        <v>95</v>
      </c>
      <c r="H3" s="113" t="s">
        <v>101</v>
      </c>
      <c r="I3" s="113" t="s">
        <v>97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A4" s="116" t="s">
        <v>102</v>
      </c>
      <c r="B4" s="116" t="s">
        <v>103</v>
      </c>
      <c r="C4" s="116" t="s">
        <v>100</v>
      </c>
      <c r="D4" s="114">
        <v>46128.0</v>
      </c>
      <c r="E4" s="113">
        <v>687.24</v>
      </c>
      <c r="F4" s="113" t="s">
        <v>94</v>
      </c>
      <c r="G4" s="113" t="s">
        <v>95</v>
      </c>
      <c r="H4" s="116" t="s">
        <v>104</v>
      </c>
      <c r="I4" s="116" t="s">
        <v>105</v>
      </c>
    </row>
    <row r="5">
      <c r="A5" s="116" t="s">
        <v>106</v>
      </c>
      <c r="B5" s="116" t="s">
        <v>103</v>
      </c>
      <c r="C5" s="116" t="s">
        <v>100</v>
      </c>
      <c r="D5" s="114">
        <v>46129.0</v>
      </c>
      <c r="E5" s="113">
        <v>935.52</v>
      </c>
      <c r="F5" s="113" t="s">
        <v>94</v>
      </c>
      <c r="G5" s="113" t="s">
        <v>95</v>
      </c>
      <c r="H5" s="116" t="s">
        <v>107</v>
      </c>
      <c r="I5" s="116" t="s">
        <v>105</v>
      </c>
    </row>
    <row r="6">
      <c r="A6" s="116" t="s">
        <v>108</v>
      </c>
      <c r="B6" s="116" t="s">
        <v>109</v>
      </c>
      <c r="C6" s="116" t="s">
        <v>93</v>
      </c>
      <c r="D6" s="114">
        <v>46134.0</v>
      </c>
      <c r="E6" s="113">
        <v>2375.16</v>
      </c>
      <c r="F6" s="113" t="s">
        <v>94</v>
      </c>
      <c r="G6" s="113" t="s">
        <v>95</v>
      </c>
      <c r="H6" s="116" t="s">
        <v>107</v>
      </c>
      <c r="I6" s="116" t="s">
        <v>105</v>
      </c>
    </row>
    <row r="7">
      <c r="A7" s="116" t="s">
        <v>110</v>
      </c>
      <c r="B7" s="116" t="s">
        <v>111</v>
      </c>
      <c r="C7" s="116" t="s">
        <v>100</v>
      </c>
      <c r="D7" s="114">
        <v>46135.0</v>
      </c>
      <c r="E7" s="113">
        <v>1812.0</v>
      </c>
      <c r="F7" s="116" t="s">
        <v>94</v>
      </c>
      <c r="G7" s="116" t="s">
        <v>112</v>
      </c>
      <c r="H7" s="116" t="s">
        <v>113</v>
      </c>
      <c r="I7" s="116" t="s">
        <v>105</v>
      </c>
    </row>
    <row r="8">
      <c r="A8" s="116" t="s">
        <v>114</v>
      </c>
      <c r="B8" s="116" t="s">
        <v>115</v>
      </c>
      <c r="C8" s="116" t="s">
        <v>100</v>
      </c>
      <c r="D8" s="114">
        <v>46134.0</v>
      </c>
      <c r="E8" s="113">
        <v>1466.64</v>
      </c>
      <c r="F8" s="113" t="s">
        <v>94</v>
      </c>
      <c r="G8" s="113" t="s">
        <v>95</v>
      </c>
      <c r="H8" s="116" t="s">
        <v>116</v>
      </c>
      <c r="I8" s="116" t="s">
        <v>105</v>
      </c>
    </row>
    <row r="9">
      <c r="A9" s="113" t="s">
        <v>117</v>
      </c>
      <c r="B9" s="113" t="s">
        <v>118</v>
      </c>
      <c r="C9" s="113" t="s">
        <v>100</v>
      </c>
      <c r="D9" s="114">
        <v>46140.0</v>
      </c>
      <c r="E9" s="113">
        <v>2506.8</v>
      </c>
      <c r="F9" s="113" t="s">
        <v>94</v>
      </c>
      <c r="G9" s="113" t="s">
        <v>95</v>
      </c>
      <c r="H9" s="113" t="s">
        <v>119</v>
      </c>
      <c r="I9" s="113" t="s">
        <v>97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</sheetData>
  <drawing r:id="rId1"/>
</worksheet>
</file>