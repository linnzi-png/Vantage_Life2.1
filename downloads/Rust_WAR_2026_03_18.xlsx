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<sst xmlns="http://schemas.openxmlformats.org/spreadsheetml/2006/main" count="3324" uniqueCount="114">
  <si>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</si>
  <si>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</si>
  <si>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</si>
  <si>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</si>
  <si>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</si>
  <si>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</si>
  <si>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</si>
  <si>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</si>
  <si>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</si>
  <si>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</si>
  <si>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</si>
  <si>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</si>
  <si>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</si>
  <si>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</si>
  <si>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</si>
  <si>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</si>
  <si>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</si>
  <si>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</si>
  <si>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</si>
  <si>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</si>
  <si>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</si>
  <si>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</si>
  <si>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</si>
  <si>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</si>
  <si>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</si>
  <si>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</si>
  <si>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</si>
  <si>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</si>
  <si>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</si>
  <si>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</si>
  <si>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</si>
  <si>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</si>
  <si>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</si>
  <si>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</si>
  <si>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</si>
  <si>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</si>
  <si>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</si>
  <si>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</si>
  <si>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</si>
  <si>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</si>
  <si>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</si>
  <si>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</si>
  <si>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</si>
  <si>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</si>
  <si>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</si>
  <si>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</si>
  <si>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</si>
  <si>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</si>
  <si>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</si>
  <si>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</si>
  <si>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</si>
  <si>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</si>
  <si>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</si>
  <si>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</si>
  <si>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</si>
  <si>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</si>
  <si>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</si>
  <si>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</si>
  <si>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</si>
  <si>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Ryan Cummings</t>
  </si>
  <si>
    <t>Charlie Hudson</t>
  </si>
  <si>
    <t>Bayle Kizer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</si>
  <si>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</si>
  <si>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</si>
  <si>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</si>
  <si>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</si>
  <si>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</si>
  <si>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</si>
  <si>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</si>
  <si>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</si>
  <si>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</si>
  <si>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</si>
  <si>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</si>
  <si>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</si>
  <si>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</si>
  <si>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</si>
  <si>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</si>
  <si>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</si>
  <si>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</si>
  <si>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</si>
  <si>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</si>
  <si>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</si>
  <si>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</si>
  <si>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</si>
  <si>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</si>
  <si>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</si>
  <si>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</si>
  <si>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</si>
  <si>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</si>
  <si>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</si>
  <si>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</si>
  <si>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</si>
  <si>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</si>
  <si>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</si>
  <si>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</si>
  <si>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ALAN CLEMENTS</t>
  </si>
  <si>
    <t>DEANDRE BARBER</t>
  </si>
  <si>
    <t>FIELDS</t>
  </si>
  <si>
    <t>N/A</t>
  </si>
  <si>
    <t>NO</t>
  </si>
  <si>
    <t>CALLED IN FOR BROTHER THAT WAS IN MILITARY AND THEN FOUND HIMSELF BEING ENROLLED- DOESN'T WANT THIS INSURANCE.</t>
  </si>
  <si>
    <t>FL</t>
  </si>
  <si>
    <t>CHARLES BOWDEN</t>
  </si>
  <si>
    <t>ABDURRAHMAAN YASEEN</t>
  </si>
  <si>
    <t>FOR ONLY 5K OF COVERAGE, WAS TOO PRICEY FOR HIM.</t>
  </si>
  <si>
    <t>KELSEY PADEN</t>
  </si>
  <si>
    <t>ANTHONY GOLINO</t>
  </si>
  <si>
    <t>BETWEEN JOBS- CANNOT AFFORD THIS RIGHT NOW.</t>
  </si>
  <si>
    <t>OPAL JOHNSON</t>
  </si>
  <si>
    <t>UNAFFORDABLE, UPSET AT AGENT FOR REACHING OUT TO DAUGHTER.</t>
  </si>
  <si>
    <t>SAUNDRA WILLIAMS</t>
  </si>
  <si>
    <t>SHAYLA WILLIAMSON</t>
  </si>
  <si>
    <t>VANNAUSTIN</t>
  </si>
  <si>
    <t>CANCEL DUE TO PREVIOUS POLICY HAVING BEEN DECLINED DUE TO PRESCRIPTION HISTORY.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</si>
</sst>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15" fillId="6" fontId="3" numFmtId="9" xfId="0" applyAlignment="1" applyBorder="1" applyFont="1" applyNumberFormat="1">
      <alignment horizontal="right" readingOrder="0" vertical="center"/>
    </xf>
    <xf borderId="7" fillId="5" fontId="3" numFmtId="3" xfId="0" applyAlignment="1" applyBorder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8032</v>
      </c>
      <c r="D2" s="10"/>
      <c r="E2" s="9">
        <f t="shared" ref="E2:R2" si="1">SUM(E5,E14,E17)</f>
        <v>5447</v>
      </c>
      <c r="F2" s="9">
        <f t="shared" si="1"/>
        <v>94</v>
      </c>
      <c r="G2" s="9">
        <f t="shared" si="1"/>
        <v>42</v>
      </c>
      <c r="H2" s="9">
        <f t="shared" si="1"/>
        <v>8</v>
      </c>
      <c r="I2" s="9">
        <f t="shared" si="1"/>
        <v>8</v>
      </c>
      <c r="J2" s="9">
        <f t="shared" si="1"/>
        <v>0</v>
      </c>
      <c r="K2" s="9">
        <f t="shared" si="1"/>
        <v>23</v>
      </c>
      <c r="L2" s="9">
        <f t="shared" si="1"/>
        <v>2</v>
      </c>
      <c r="M2" s="9">
        <f t="shared" si="1"/>
        <v>86</v>
      </c>
      <c r="N2" s="9">
        <f t="shared" si="1"/>
        <v>9</v>
      </c>
      <c r="O2" s="9">
        <f t="shared" si="1"/>
        <v>5</v>
      </c>
      <c r="P2" s="9">
        <f t="shared" si="1"/>
        <v>16</v>
      </c>
      <c r="Q2" s="9">
        <f t="shared" si="1"/>
        <v>1</v>
      </c>
      <c r="R2" s="9">
        <f t="shared" si="1"/>
        <v>15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1004</v>
      </c>
      <c r="F4" s="23">
        <f>IFERROR((G2+R2)/F2,0)</f>
        <v>0.6063829787</v>
      </c>
      <c r="G4" s="23">
        <f>IFERROR(H2/G2,0)</f>
        <v>0.1904761905</v>
      </c>
      <c r="H4" s="22">
        <f>(C2/C4)</f>
        <v>178.4888889</v>
      </c>
      <c r="I4" s="24"/>
      <c r="J4" s="23">
        <f>IFERROR(J2/I2,0)</f>
        <v>0</v>
      </c>
      <c r="K4" s="24"/>
      <c r="L4" s="23">
        <f>IFERROR(L2/K2,0)</f>
        <v>0.08695652174</v>
      </c>
      <c r="M4" s="25">
        <f>IFERROR(M2/G2,0)</f>
        <v>2.047619048</v>
      </c>
      <c r="N4" s="24"/>
      <c r="O4" s="23">
        <f>IFERROR(O2/N2,0)</f>
        <v>0.5555555556</v>
      </c>
      <c r="P4" s="26"/>
      <c r="Q4" s="23">
        <f>IFERROR(Q2/P2,0)</f>
        <v>0.0625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670</v>
      </c>
      <c r="D5" s="31"/>
      <c r="E5" s="32">
        <f>SUMIFS(T:T,A:A,B5,D:D,"Y")</f>
        <v>0</v>
      </c>
      <c r="F5" s="33">
        <f>SUMIF(A:A,B5,G:G)</f>
        <v>33</v>
      </c>
      <c r="G5" s="33">
        <f>SUMIF(A:A,B5,H:H)</f>
        <v>13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46</v>
      </c>
      <c r="N5" s="33">
        <f>SUMIF(A:A,B5,N:N)</f>
        <v>4</v>
      </c>
      <c r="O5" s="33">
        <f>SUMIF(A:A,B5,O:O)</f>
        <v>1</v>
      </c>
      <c r="P5" s="33">
        <f>SUMIF(A:A,B5,J:J)</f>
        <v>4</v>
      </c>
      <c r="Q5" s="33">
        <f>SUMIF(A:A,B5,K:K)</f>
        <v>0</v>
      </c>
      <c r="R5" s="34">
        <f>SUMIF(A:A,B5,L:L)</f>
        <v>6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670</v>
      </c>
      <c r="F7" s="41">
        <f>IFERROR((G5+R5)/F5,0)</f>
        <v>0.5757575758</v>
      </c>
      <c r="G7" s="41">
        <f>IFERROR(H5/G5,0)</f>
        <v>0.07692307692</v>
      </c>
      <c r="H7" s="40">
        <f>(C5/C7)</f>
        <v>35.26315789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2.421052632</v>
      </c>
      <c r="N7" s="42"/>
      <c r="O7" s="41">
        <f>IFERROR(O5/N5,0)</f>
        <v>0.25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SUMIF(B39:B1066,B8,G39:G1066)</f>
        <v>0</v>
      </c>
      <c r="G8" s="46">
        <f>SUMIF(B39:B1066,B8,H39:H1066)</f>
        <v>0</v>
      </c>
      <c r="H8" s="46">
        <f>SUMIF(B39:B1066,B8,I39:I1066)</f>
        <v>0</v>
      </c>
      <c r="I8" s="46">
        <f>SUMIF(B39:B1066,B8,P39:P1066)</f>
        <v>0</v>
      </c>
      <c r="J8" s="46">
        <f>SUMIF(B39:B1066,B8,Q39:Q1066)</f>
        <v>0</v>
      </c>
      <c r="K8" s="46">
        <f>SUMIF(B39:B1066,B8,R39:R1066)</f>
        <v>0</v>
      </c>
      <c r="L8" s="46">
        <f>SUMIF(B39:B1066,B8,S39:S1066)</f>
        <v>0</v>
      </c>
      <c r="M8" s="46">
        <f>SUMIF(B39:B1066,B8,M39:M1066)</f>
        <v>0</v>
      </c>
      <c r="N8" s="46">
        <f>SUMIF(B39:B1066,B8,N39:N1066)</f>
        <v>0</v>
      </c>
      <c r="O8" s="46">
        <f>SUMIF(B39:B1066,B8,O39:O1066)</f>
        <v>0</v>
      </c>
      <c r="P8" s="46">
        <f>SUMIF(B39:B1066,B8,J39:J1066)</f>
        <v>0</v>
      </c>
      <c r="Q8" s="46">
        <f>SUMIF(B39:B1066,B8,K39:K1066)</f>
        <v>0</v>
      </c>
      <c r="R8" s="50">
        <f>SUMIF(B39:B1066,B8,L39:L1066)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COUNTIFS(B28:B1066,B8)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670</v>
      </c>
      <c r="D11" s="47"/>
      <c r="E11" s="48">
        <f>SUMIFS(T:T,B:B,B11,D:D,"Y")</f>
        <v>0</v>
      </c>
      <c r="F11" s="49">
        <f t="shared" ref="F11:R11" si="2">SUMIF(B28:B1066,B11,G28:G1066)</f>
        <v>25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3</v>
      </c>
      <c r="O11" s="49">
        <f t="shared" si="2"/>
        <v>8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COUNTIFS(B27:B1066,B11)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60.90909091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2.666666667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774</v>
      </c>
      <c r="D14" s="31"/>
      <c r="E14" s="53">
        <f>SUMIFS(T:T,A:A,B14,D:D,"Y")</f>
        <v>774</v>
      </c>
      <c r="F14" s="9">
        <f>SUMIF(A:A,B14,G:G)</f>
        <v>7</v>
      </c>
      <c r="G14" s="33">
        <f>SUMIF(A:A,B14,H:H)</f>
        <v>4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3</v>
      </c>
      <c r="L14" s="33">
        <f>SUMIF(A:A,B14,S:S)</f>
        <v>0</v>
      </c>
      <c r="M14" s="33">
        <f>SUMIF(A:A,B14,M:M)</f>
        <v>7</v>
      </c>
      <c r="N14" s="33">
        <f>SUMIF(A:A,B14,N:N)</f>
        <v>0</v>
      </c>
      <c r="O14" s="33">
        <f>SUMIF(A:A,B14,O:O)</f>
        <v>0</v>
      </c>
      <c r="P14" s="33">
        <f>SUMIF(A:A,B14,J:J)</f>
        <v>2</v>
      </c>
      <c r="Q14" s="33">
        <f>SUMIF(A:A,B14,K:K)</f>
        <v>0</v>
      </c>
      <c r="R14" s="34">
        <f>SUMIF(A:A,B14,L:L)</f>
        <v>2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774</v>
      </c>
      <c r="F16" s="23">
        <f>IFERROR((G14+R14)/F14,0)</f>
        <v>0.8571428571</v>
      </c>
      <c r="G16" s="23">
        <f>IFERROR(H14/G14,0)</f>
        <v>0.25</v>
      </c>
      <c r="H16" s="22">
        <f>(C14/C16)</f>
        <v>193.5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1.166666667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6588</v>
      </c>
      <c r="D17" s="31"/>
      <c r="E17" s="53">
        <f>SUMIFS(T:T,A:A,B17,D:D,"Y")</f>
        <v>4673</v>
      </c>
      <c r="F17" s="9">
        <f>SUMIF(A:A,B17,G:G)</f>
        <v>54</v>
      </c>
      <c r="G17" s="33">
        <f>SUMIF(A:A,B17,H:H)</f>
        <v>25</v>
      </c>
      <c r="H17" s="33">
        <f>SUMIF(A:A,B17,I:I)</f>
        <v>6</v>
      </c>
      <c r="I17" s="33">
        <f>SUMIF(A:A,B17,P:P)</f>
        <v>8</v>
      </c>
      <c r="J17" s="33">
        <f>SUMIF(A:A,B17,Q:Q)</f>
        <v>0</v>
      </c>
      <c r="K17" s="33">
        <f>SUMIF(A:A,B17,R:R)</f>
        <v>16</v>
      </c>
      <c r="L17" s="33">
        <f>SUMIF(A:A,B17,S:S)</f>
        <v>2</v>
      </c>
      <c r="M17" s="33">
        <f>SUMIF(A:A,B17,M:M)</f>
        <v>33</v>
      </c>
      <c r="N17" s="33">
        <f>SUMIF(A:A,B17,N:N)</f>
        <v>5</v>
      </c>
      <c r="O17" s="33">
        <f>SUMIF(A:A,B17,O:O)</f>
        <v>4</v>
      </c>
      <c r="P17" s="33">
        <f>SUMIF(A:A,B17,J:J)</f>
        <v>10</v>
      </c>
      <c r="Q17" s="33">
        <f>SUMIF(A:A,B17,K:K)</f>
        <v>1</v>
      </c>
      <c r="R17" s="34">
        <f>SUMIF(A:A,B17,L:L)</f>
        <v>7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1098</v>
      </c>
      <c r="F19" s="41">
        <f>IFERROR((G17+R17)/F17,0)</f>
        <v>0.5925925926</v>
      </c>
      <c r="G19" s="41">
        <f>IFERROR(H17/G17,0)</f>
        <v>0.24</v>
      </c>
      <c r="H19" s="40">
        <f>(C17/C19)</f>
        <v>299.4545455</v>
      </c>
      <c r="I19" s="42"/>
      <c r="J19" s="41">
        <f>IFERROR(J17/I17,0)</f>
        <v>0</v>
      </c>
      <c r="K19" s="42"/>
      <c r="L19" s="41">
        <f>IFERROR(L17/K17,0)</f>
        <v>0.125</v>
      </c>
      <c r="M19" s="54">
        <f>IFERROR(M17/SUM(G17+R17,0),"")</f>
        <v>1.03125</v>
      </c>
      <c r="N19" s="42"/>
      <c r="O19" s="41">
        <f>IFERROR(O17/N17,0)</f>
        <v>0.8</v>
      </c>
      <c r="P19" s="43"/>
      <c r="Q19" s="41">
        <f>IFERROR(Q17/P17,0)</f>
        <v>0.1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6588</v>
      </c>
      <c r="D20" s="55"/>
      <c r="E20" s="48">
        <f>SUMIFS(T:T,B:B,B20,D:D,"Y")</f>
        <v>4673</v>
      </c>
      <c r="F20" s="49">
        <f>SUMIF(B47:B1066,B20,G47:G1066)</f>
        <v>53</v>
      </c>
      <c r="G20" s="46">
        <f>SUMIF(B47:B1066,B20,H47:H1066)</f>
        <v>24</v>
      </c>
      <c r="H20" s="46">
        <f>SUMIF(B47:B1066,B20,I47:I1066)</f>
        <v>6</v>
      </c>
      <c r="I20" s="46">
        <f>SUMIF(B47:B1066,B20,P47:P1066)</f>
        <v>8</v>
      </c>
      <c r="J20" s="46">
        <f>SUMIF(B47:B1066,B20,Q47:Q1066)</f>
        <v>0</v>
      </c>
      <c r="K20" s="46">
        <f>SUMIF(B47:B1066,B20,R47:R1066)</f>
        <v>15</v>
      </c>
      <c r="L20" s="46">
        <f>SUMIF(B47:B1066,B20,S47:S1066)</f>
        <v>2</v>
      </c>
      <c r="M20" s="46">
        <f>SUMIF(B47:B1066,B20,M47:M1066)</f>
        <v>33</v>
      </c>
      <c r="N20" s="46">
        <f>SUMIF(B47:B1066,B20,N47:N1066)</f>
        <v>5</v>
      </c>
      <c r="O20" s="46">
        <f>SUMIF(B47:B1066,B20,O47:O1066)</f>
        <v>4</v>
      </c>
      <c r="P20" s="46">
        <f>SUMIF(B47:B1066,B20,J47:J1066)</f>
        <v>9</v>
      </c>
      <c r="Q20" s="46">
        <f>SUMIF(B47:B1066,B20,K47:K1066)</f>
        <v>1</v>
      </c>
      <c r="R20" s="50">
        <f>SUMIF(B47:B1066,B20,L47:L1066)</f>
        <v>7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COUNTIFS(B28:B1066,B20)</f>
        <v>14</v>
      </c>
      <c r="D22" s="39"/>
      <c r="E22" s="40">
        <f>IFERROR(C20/H20,0)</f>
        <v>1098</v>
      </c>
      <c r="F22" s="41">
        <f>IFERROR((G20+R20)/F20,0)</f>
        <v>0.5849056604</v>
      </c>
      <c r="G22" s="41">
        <f>IFERROR(H20/G20,0)</f>
        <v>0.25</v>
      </c>
      <c r="H22" s="40">
        <f>(C20/C22)</f>
        <v>470.5714286</v>
      </c>
      <c r="I22" s="42"/>
      <c r="J22" s="41">
        <f>IFERROR(J20/I20,0)</f>
        <v>0</v>
      </c>
      <c r="K22" s="42"/>
      <c r="L22" s="41">
        <f>IFERROR(L20/K20,0)</f>
        <v>0.1333333333</v>
      </c>
      <c r="M22" s="43">
        <f>IFERROR(M20/SUM(G20+R20,0),"")</f>
        <v>1.064516129</v>
      </c>
      <c r="N22" s="42"/>
      <c r="O22" s="41">
        <f>IFERROR(O20/N20,0)</f>
        <v>0.8</v>
      </c>
      <c r="P22" s="43"/>
      <c r="Q22" s="41">
        <f>IFERROR(Q20/P20,0)</f>
        <v>0.1111111111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SUMIF(B50:B1066,B23,G50:G1066)</f>
        <v>1</v>
      </c>
      <c r="G23" s="46">
        <f>SUMIF(B50:B1066,B23,H50:H1066)</f>
        <v>1</v>
      </c>
      <c r="H23" s="46">
        <f>SUMIF(B50:B1066,B23,I50:I1066)</f>
        <v>0</v>
      </c>
      <c r="I23" s="46">
        <f>SUMIF(B50:B1066,B23,P50:P1066)</f>
        <v>0</v>
      </c>
      <c r="J23" s="46">
        <f>SUMIF(B50:B1066,B23,Q50:Q1066)</f>
        <v>0</v>
      </c>
      <c r="K23" s="46">
        <f>SUMIF(B50:B1066,B23,R50:R1066)</f>
        <v>1</v>
      </c>
      <c r="L23" s="46">
        <f>SUMIF(B50:B1066,B23,S50:S1066)</f>
        <v>0</v>
      </c>
      <c r="M23" s="46">
        <f>SUMIF(B50:B1066,B23,M50:M1066)</f>
        <v>0</v>
      </c>
      <c r="N23" s="46">
        <f>SUMIF(B50:B1066,B23,N50:N1066)</f>
        <v>0</v>
      </c>
      <c r="O23" s="46">
        <f>SUMIF(B50:B1066,B23,O50:O1066)</f>
        <v>0</v>
      </c>
      <c r="P23" s="46">
        <f>SUMIF(B50:B1066,B23,J50:J1066)</f>
        <v>1</v>
      </c>
      <c r="Q23" s="46">
        <f>SUMIF(B50:B1066,B23,K50:K1066)</f>
        <v>0</v>
      </c>
      <c r="R23" s="50">
        <f>SUMIF(B50:B1066,B23,L50:L1066)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COUNTIFS(B33:B1066,B23)</f>
        <v>5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0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8</v>
      </c>
      <c r="H30" s="70">
        <f>('Thurs (2)'!H30+Thurs!H30+'Tues '!H30+Wed!H30+Fri!H30+'Mon '!H30+'Wed (2)'!H30+Sun!H30+Sat!H30)</f>
        <v>5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2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4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1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3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1.125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2</v>
      </c>
      <c r="H33" s="70">
        <f>('Thurs (2)'!H33+Thurs!H33+'Tues '!H33+Wed!H33+Fri!H33+'Mon '!H33+'Wed (2)'!H33+Sun!H33+Sat!H33)</f>
        <v>1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1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1</v>
      </c>
      <c r="M33" s="70">
        <f>('Thurs (2)'!M33+Thurs!M33+'Tues '!M33+Wed!M33+Fri!M33+'Mon '!M33+'Wed (2)'!M33+Sun!M33+Sat!M33)</f>
        <v>7</v>
      </c>
      <c r="N33" s="70">
        <f>('Thurs (2)'!N33+Thurs!N33+'Tues '!N33+Wed!N33+Fri!N33+'Mon '!N33+'Wed (2)'!N33+Sun!N33+Sat!N33)</f>
        <v>1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3</v>
      </c>
      <c r="H34" s="70">
        <f>('Thurs (2)'!H34+Thurs!H34+'Tues '!H34+Wed!H34+Fri!H34+'Mon '!H34+'Wed (2)'!H34+Sun!H34+Sat!H34)</f>
        <v>0</v>
      </c>
      <c r="I34" s="70">
        <f>('Thurs (2)'!I34+Thurs!I34+'Tues '!I34+Wed!I34+Fri!I34+'Mon '!I34+'Wed (2)'!I34+Sun!I34+Sat!I34)</f>
        <v>0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0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0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9</v>
      </c>
      <c r="H35" s="70">
        <f>('Thurs (2)'!H35+Thurs!H35+'Tues '!H35+Wed!H35+Fri!H35+'Mon '!H35+'Wed (2)'!H35+Sun!H35+Sat!H35)</f>
        <v>3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1</v>
      </c>
      <c r="M35" s="70">
        <f>('Thurs (2)'!M35+Thurs!M35+'Tues '!M35+Wed!M35+Fri!M35+'Mon '!M35+'Wed (2)'!M35+Sun!M35+Sat!M35)</f>
        <v>22</v>
      </c>
      <c r="N35" s="70">
        <f>('Thurs (2)'!N35+Thurs!N35+'Tues '!N35+Wed!N35+Fri!N35+'Mon '!N35+'Wed (2)'!N35+Sun!N35+Sat!N35)</f>
        <v>0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0.4444444444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1</v>
      </c>
      <c r="H37" s="70">
        <f>('Thurs (2)'!H37+Thurs!H37+'Tues '!H37+Wed!H37+Fri!H37+'Mon '!H37+'Wed (2)'!H37+Sun!H37+Sat!H37)</f>
        <v>1</v>
      </c>
      <c r="I37" s="70">
        <f>('Thurs (2)'!I37+Thurs!I37+'Tues '!I37+Wed!I37+Fri!I37+'Mon '!I37+'Wed (2)'!I37+Sun!I37+Sat!I37)</f>
        <v>1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3</v>
      </c>
      <c r="N37" s="70">
        <f>('Thurs (2)'!N37+Thurs!N37+'Tues '!N37+Wed!N37+Fri!N37+'Mon '!N37+'Wed (2)'!N37+Sun!N37+Sat!N37)</f>
        <v>1</v>
      </c>
      <c r="O37" s="70">
        <f>('Thurs (2)'!O37+Thurs!O37+'Tues '!O37+Wed!O37+Fri!O37+'Mon '!O37+'Wed (2)'!O37+Sun!O37+Sat!O37)</f>
        <v>1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670</v>
      </c>
      <c r="U37" s="71">
        <f t="shared" si="3"/>
        <v>1</v>
      </c>
      <c r="V37" s="71">
        <f t="shared" si="4"/>
        <v>1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10</v>
      </c>
      <c r="H38" s="70">
        <f>('Thurs (2)'!H38+Thurs!H38+'Tues '!H38+Wed!H38+Fri!H38+'Mon '!H38+'Wed (2)'!H38+Sun!H38+Sat!H38)</f>
        <v>3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1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14</v>
      </c>
      <c r="N38" s="70">
        <f>('Thurs (2)'!N38+Thurs!N38+'Tues '!N38+Wed!N38+Fri!N38+'Mon '!N38+'Wed (2)'!N38+Sun!N38+Sat!N38)</f>
        <v>1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1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0.3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>
      <c r="A49" s="73" t="s">
        <v>29</v>
      </c>
      <c r="B49" s="77"/>
      <c r="C49" s="75"/>
      <c r="D49" s="75"/>
      <c r="E49" s="75"/>
      <c r="F49" s="77" t="s">
        <v>66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>
        <f>('Thurs (2)'!G50+Thurs!G50+'Tues '!G50+Wed!G50+Fri!G50+'Mon '!G50+'Wed (2)'!G50+Sun!G50+Sat!G50)</f>
        <v>7</v>
      </c>
      <c r="H50" s="70">
        <f>('Thurs (2)'!H50+Thurs!H50+'Tues '!H50+Wed!H50+Fri!H50+'Mon '!H50+'Wed (2)'!H50+Sun!H50+Sat!H50)</f>
        <v>4</v>
      </c>
      <c r="I50" s="70">
        <f>('Thurs (2)'!I50+Thurs!I50+'Tues '!I50+Wed!I50+Fri!I50+'Mon '!I50+'Wed (2)'!I50+Sun!I50+Sat!I50)</f>
        <v>1</v>
      </c>
      <c r="J50" s="70">
        <f>('Thurs (2)'!J50+Thurs!J50+'Tues '!J50+Wed!J50+Fri!J50+'Mon '!J50+'Wed (2)'!J50+Sun!J50+Sat!J50)</f>
        <v>2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2</v>
      </c>
      <c r="M50" s="70">
        <f>('Thurs (2)'!M50+Thurs!M50+'Tues '!M50+Wed!M50+Fri!M50+'Mon '!M50+'Wed (2)'!M50+Sun!M50+Sat!M50)</f>
        <v>7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3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774</v>
      </c>
      <c r="U50" s="71">
        <f t="shared" si="5"/>
        <v>0.25</v>
      </c>
      <c r="V50" s="71">
        <f t="shared" si="6"/>
        <v>0.8571428571</v>
      </c>
      <c r="W50" s="72"/>
    </row>
    <row r="5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>
        <f>('Thurs (2)'!G56+Thurs!G56+'Tues '!G56+Wed!G56+Fri!G56+'Mon '!G56+'Wed (2)'!G56+Sun!G56+Sat!G56)</f>
        <v>24</v>
      </c>
      <c r="H56" s="70">
        <f>('Thurs (2)'!H56+Thurs!H56+'Tues '!H56+Wed!H56+Fri!H56+'Mon '!H56+'Wed (2)'!H56+Sun!H56+Sat!H56)</f>
        <v>8</v>
      </c>
      <c r="I56" s="70">
        <f>('Thurs (2)'!I56+Thurs!I56+'Tues '!I56+Wed!I56+Fri!I56+'Mon '!I56+'Wed (2)'!I56+Sun!I56+Sat!I56)</f>
        <v>1</v>
      </c>
      <c r="J56" s="70">
        <f>('Thurs (2)'!J56+Thurs!J56+'Tues '!J56+Wed!J56+Fri!J56+'Mon '!J56+'Wed (2)'!J56+Sun!J56+Sat!J56)</f>
        <v>7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2</v>
      </c>
      <c r="M56" s="70">
        <f>('Thurs (2)'!M56+Thurs!M56+'Tues '!M56+Wed!M56+Fri!M56+'Mon '!M56+'Wed (2)'!M56+Sun!M56+Sat!M56)</f>
        <v>21</v>
      </c>
      <c r="N56" s="70">
        <f>('Thurs (2)'!N56+Thurs!N56+'Tues '!N56+Wed!N56+Fri!N56+'Mon '!N56+'Wed (2)'!N56+Sun!N56+Sat!N56)</f>
        <v>1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9</v>
      </c>
      <c r="S56" s="70">
        <f>('Thurs (2)'!S56+Thurs!S56+'Tues '!S56+Wed!S56+Fri!S56+'Mon '!S56+'Wed (2)'!S56+Sun!S56+Sat!S56)</f>
        <v>1</v>
      </c>
      <c r="T56" s="70">
        <f>('Thurs (2)'!T56+Thurs!T56+'Tues '!T56+Wed!T56+Fri!T56+'Mon '!T56+'Wed (2)'!T56+Sun!T56+Sat!T56)</f>
        <v>992</v>
      </c>
      <c r="U56" s="71">
        <f t="shared" si="7"/>
        <v>0.125</v>
      </c>
      <c r="V56" s="71">
        <f t="shared" si="8"/>
        <v>0.4166666667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>
        <f>('Thurs (2)'!G60+Thurs!G60+'Tues '!G60+Wed!G60+Fri!G60+'Mon '!G60+'Wed (2)'!G60+Sun!G60+Sat!G60)</f>
        <v>5</v>
      </c>
      <c r="H60" s="70">
        <f>('Thurs (2)'!H60+Thurs!H60+'Tues '!H60+Wed!H60+Fri!H60+'Mon '!H60+'Wed (2)'!H60+Sun!H60+Sat!H60)</f>
        <v>5</v>
      </c>
      <c r="I60" s="70">
        <f>('Thurs (2)'!I60+Thurs!I60+'Tues '!I60+Wed!I60+Fri!I60+'Mon '!I60+'Wed (2)'!I60+Sun!I60+Sat!I60)</f>
        <v>1</v>
      </c>
      <c r="J60" s="70">
        <f>('Thurs (2)'!J60+Thurs!J60+'Tues '!J60+Wed!J60+Fri!J60+'Mon '!J60+'Wed (2)'!J60+Sun!J60+Sat!J60)</f>
        <v>1</v>
      </c>
      <c r="K60" s="70">
        <f>('Thurs (2)'!K60+Thurs!K60+'Tues '!K60+Wed!K60+Fri!K60+'Mon '!K60+'Wed (2)'!K60+Sun!K60+Sat!K60)</f>
        <v>1</v>
      </c>
      <c r="L60" s="70">
        <f>('Thurs (2)'!L60+Thurs!L60+'Tues '!L60+Wed!L60+Fri!L60+'Mon '!L60+'Wed (2)'!L60+Sun!L60+Sat!L60)</f>
        <v>1</v>
      </c>
      <c r="M60" s="70">
        <f>('Thurs (2)'!M60+Thurs!M60+'Tues '!M60+Wed!M60+Fri!M60+'Mon '!M60+'Wed (2)'!M60+Sun!M60+Sat!M60)</f>
        <v>5</v>
      </c>
      <c r="N60" s="70">
        <f>('Thurs (2)'!N60+Thurs!N60+'Tues '!N60+Wed!N60+Fri!N60+'Mon '!N60+'Wed (2)'!N60+Sun!N60+Sat!N60)</f>
        <v>1</v>
      </c>
      <c r="O60" s="70">
        <f>('Thurs (2)'!O60+Thurs!O60+'Tues '!O60+Wed!O60+Fri!O60+'Mon '!O60+'Wed (2)'!O60+Sun!O60+Sat!O60)</f>
        <v>1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4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897</v>
      </c>
      <c r="U60" s="71">
        <f t="shared" si="7"/>
        <v>0.2</v>
      </c>
      <c r="V60" s="71">
        <f t="shared" si="8"/>
        <v>1.2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>
        <f>('Thurs (2)'!G61+Thurs!G61+'Tues '!G61+Wed!G61+Fri!G61+'Mon '!G61+'Wed (2)'!G61+Sun!G61+Sat!G61)</f>
        <v>5</v>
      </c>
      <c r="H61" s="70">
        <f>('Thurs (2)'!H61+Thurs!H61+'Tues '!H61+Wed!H61+Fri!H61+'Mon '!H61+'Wed (2)'!H61+Sun!H61+Sat!H61)</f>
        <v>2</v>
      </c>
      <c r="I61" s="70">
        <f>('Thurs (2)'!I61+Thurs!I61+'Tues '!I61+Wed!I61+Fri!I61+'Mon '!I61+'Wed (2)'!I61+Sun!I61+Sat!I61)</f>
        <v>2</v>
      </c>
      <c r="J61" s="70">
        <f>('Thurs (2)'!J61+Thurs!J61+'Tues '!J61+Wed!J61+Fri!J61+'Mon '!J61+'Wed (2)'!J61+Sun!J61+Sat!J61)</f>
        <v>1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1</v>
      </c>
      <c r="M61" s="70">
        <f>('Thurs (2)'!M61+Thurs!M61+'Tues '!M61+Wed!M61+Fri!M61+'Mon '!M61+'Wed (2)'!M61+Sun!M61+Sat!M61)</f>
        <v>5</v>
      </c>
      <c r="N61" s="70">
        <f>('Thurs (2)'!N61+Thurs!N61+'Tues '!N61+Wed!N61+Fri!N61+'Mon '!N61+'Wed (2)'!N61+Sun!N61+Sat!N61)</f>
        <v>1</v>
      </c>
      <c r="O61" s="70">
        <f>('Thurs (2)'!O61+Thurs!O61+'Tues '!O61+Wed!O61+Fri!O61+'Mon '!O61+'Wed (2)'!O61+Sun!O61+Sat!O61)</f>
        <v>1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2</v>
      </c>
      <c r="S61" s="70">
        <f>('Thurs (2)'!S61+Thurs!S61+'Tues '!S61+Wed!S61+Fri!S61+'Mon '!S61+'Wed (2)'!S61+Sun!S61+Sat!S61)</f>
        <v>1</v>
      </c>
      <c r="T61" s="70">
        <f>('Thurs (2)'!T61+Thurs!T61+'Tues '!T61+Wed!T61+Fri!T61+'Mon '!T61+'Wed (2)'!T61+Sun!T61+Sat!T61)</f>
        <v>1915</v>
      </c>
      <c r="U61" s="71">
        <f t="shared" si="7"/>
        <v>1</v>
      </c>
      <c r="V61" s="71">
        <f t="shared" si="8"/>
        <v>0.6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>
        <f>('Thurs (2)'!G62+Thurs!G62+'Tues '!G62+Wed!G62+Fri!G62+'Mon '!G62+'Wed (2)'!G62+Sun!G62+Sat!G62)</f>
        <v>1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>
        <f>('Thurs (2)'!G63+Thurs!G63+'Tues '!G63+Wed!G63+Fri!G63+'Mon '!G63+'Wed (2)'!G63+Sun!G63+Sat!G63)</f>
        <v>4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>
        <f>('Thurs (2)'!G67+Fri!G67+'Tues '!G67+Wed!G67+Fri!G67+'Mon '!G67+'Wed (2)'!G67+Sun!G67+Sat!G67)</f>
        <v>14</v>
      </c>
      <c r="H67" s="70">
        <f>('Thurs (2)'!H67+Fri!H67+'Tues '!H67+Wed!H67+Fri!H67+'Mon '!H67+'Wed (2)'!H67+Sun!H67+Sat!H67)</f>
        <v>9</v>
      </c>
      <c r="I67" s="70">
        <f>('Thurs (2)'!I67+Fri!I67+'Tues '!I67+Wed!I67+Fri!I67+'Mon '!I67+'Wed (2)'!I67+Sun!I67+Sat!I67)</f>
        <v>2</v>
      </c>
      <c r="J67" s="70">
        <f>('Thurs (2)'!J67+Fri!J67+'Tues '!J67+Wed!J67+Fri!J67+'Mon '!J67+'Wed (2)'!J67+Sun!J67+Sat!J67)</f>
        <v>0</v>
      </c>
      <c r="K67" s="70">
        <f>('Thurs (2)'!K67+Fri!K67+'Tues '!K67+Wed!K67+Fri!K67+'Mon '!K67+'Wed (2)'!K67+Sun!K67+Sat!K67)</f>
        <v>0</v>
      </c>
      <c r="L67" s="70">
        <f>('Thurs (2)'!L67+Fri!L67+'Tues '!L67+Wed!L67+Fri!L67+'Mon '!L67+'Wed (2)'!L67+Sun!L67+Sat!L67)</f>
        <v>3</v>
      </c>
      <c r="M67" s="70">
        <f>('Thurs (2)'!M67+Fri!M67+'Tues '!M67+Wed!M67+Fri!M67+'Mon '!M67+'Wed (2)'!M67+Sun!M67+Sat!M67)</f>
        <v>2</v>
      </c>
      <c r="N67" s="70">
        <f>('Thurs (2)'!N67+Fri!N67+'Tues '!N67+Wed!N67+Fri!N67+'Mon '!N67+'Wed (2)'!N67+Sun!N67+Sat!N67)</f>
        <v>2</v>
      </c>
      <c r="O67" s="70">
        <f>('Thurs (2)'!O67+Fri!O67+'Tues '!O67+Wed!O67+Fri!O67+'Mon '!O67+'Wed (2)'!O67+Sun!O67+Sat!O67)</f>
        <v>2</v>
      </c>
      <c r="P67" s="70">
        <f>('Thurs (2)'!P67+Fri!P67+'Tues '!P67+Wed!P67+Fri!P67+'Mon '!P67+'Wed (2)'!P67+Sun!P67+Sat!P67)</f>
        <v>8</v>
      </c>
      <c r="Q67" s="70">
        <f>('Thurs (2)'!Q67+Fri!Q67+'Tues '!Q67+Wed!Q67+Fri!Q67+'Mon '!Q67+'Wed (2)'!Q67+Sun!Q67+Sat!Q67)</f>
        <v>0</v>
      </c>
      <c r="R67" s="70">
        <f>('Thurs (2)'!R67+Fri!R67+'Tues '!R67+Wed!R67+Fri!R67+'Mon '!R67+'Wed (2)'!R67+Sun!R67+Sat!R67)</f>
        <v>0</v>
      </c>
      <c r="S67" s="70">
        <f>('Thurs (2)'!S67+Fri!S67+'Tues '!S67+Wed!S67+Fri!S67+'Mon '!S67+'Wed (2)'!S67+Sun!S67+Sat!S67)</f>
        <v>0</v>
      </c>
      <c r="T67" s="70">
        <f>('Thurs (2)'!T67+Fri!T67+'Tues '!T67+Wed!T67+Fri!T67+'Mon '!T67+'Wed (2)'!T67+Sun!T67+Sat!T67)</f>
        <v>2784</v>
      </c>
      <c r="U67" s="71">
        <f t="shared" si="7"/>
        <v>0.2222222222</v>
      </c>
      <c r="V67" s="71">
        <f t="shared" si="8"/>
        <v>0.8571428571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>
        <f>('Thurs (2)'!G73+Thurs!G73+'Tues '!G73+Wed!G73+Fri!G73+'Mon '!G73+'Wed (2)'!G73+Sun!G73+Sat!G73)</f>
        <v>1</v>
      </c>
      <c r="H73" s="70">
        <f>('Thurs (2)'!H73+Thurs!H73+'Tues '!H73+Wed!H73+Fri!H73+'Mon '!H73+'Wed (2)'!H73+Sun!H73+Sat!H73)</f>
        <v>1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1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1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1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774</v>
      </c>
      <c r="D2" s="10"/>
      <c r="E2" s="9">
        <f t="shared" ref="E2:R2" si="1">SUM(E5,E14,E17)</f>
        <v>774</v>
      </c>
      <c r="F2" s="9">
        <f t="shared" si="1"/>
        <v>19</v>
      </c>
      <c r="G2" s="9">
        <f t="shared" si="1"/>
        <v>9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0</v>
      </c>
      <c r="M2" s="9">
        <f t="shared" si="1"/>
        <v>13</v>
      </c>
      <c r="N2" s="9">
        <f t="shared" si="1"/>
        <v>2</v>
      </c>
      <c r="O2" s="9">
        <f t="shared" si="1"/>
        <v>0</v>
      </c>
      <c r="P2" s="9">
        <f t="shared" si="1"/>
        <v>5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774</v>
      </c>
      <c r="F4" s="23">
        <f>IFERROR((G2+R2)/F2,0)</f>
        <v>0.6315789474</v>
      </c>
      <c r="G4" s="23">
        <f>IFERROR(H2/G2,0)</f>
        <v>0.1111111111</v>
      </c>
      <c r="H4" s="22">
        <f>(C2/C4)</f>
        <v>17.2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1.444444444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7</v>
      </c>
      <c r="N5" s="33">
        <f>SUMIF(A:A,B5,N:N)</f>
        <v>1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0.375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774</v>
      </c>
      <c r="D14" s="31"/>
      <c r="E14" s="53">
        <f>SUMIFS(T:T,A:A,B14,D:D,"Y")</f>
        <v>774</v>
      </c>
      <c r="F14" s="9">
        <f>SUMIF(A:A,B14,G:G)</f>
        <v>2</v>
      </c>
      <c r="G14" s="33">
        <f>SUMIF(A:A,B14,H:H)</f>
        <v>2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774</v>
      </c>
      <c r="F16" s="23">
        <f>IFERROR((G14+R14)/F14,0)</f>
        <v>1.5</v>
      </c>
      <c r="G16" s="23">
        <f>IFERROR(H14/G14,0)</f>
        <v>0.5</v>
      </c>
      <c r="H16" s="22">
        <f>(C14/C16)</f>
        <v>193.5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0.6666666667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9</v>
      </c>
      <c r="G17" s="33">
        <f>SUMIF(A:A,B17,H:H)</f>
        <v>5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4</v>
      </c>
      <c r="L17" s="33">
        <f>SUMIF(A:A,B17,S:S)</f>
        <v>0</v>
      </c>
      <c r="M17" s="33">
        <f>SUMIF(A:A,B17,M:M)</f>
        <v>4</v>
      </c>
      <c r="N17" s="33">
        <f>SUMIF(A:A,B17,N:N)</f>
        <v>1</v>
      </c>
      <c r="O17" s="33">
        <f>SUMIF(A:A,B17,O:O)</f>
        <v>0</v>
      </c>
      <c r="P17" s="33">
        <f>SUMIF(A:A,B17,J:J)</f>
        <v>3</v>
      </c>
      <c r="Q17" s="33">
        <f>SUMIF(A:A,B17,K:K)</f>
        <v>0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0.6666666667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0.6666666667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8</v>
      </c>
      <c r="G20" s="46">
        <f>SUMIF(B47:B1137,B20,H47:H1137)</f>
        <v>4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3</v>
      </c>
      <c r="L20" s="46">
        <f>SUMIF(B47:B1137,B20,S47:S1137)</f>
        <v>0</v>
      </c>
      <c r="M20" s="46">
        <f>SUMIF(B47:B1137,B20,M47:M1137)</f>
        <v>4</v>
      </c>
      <c r="N20" s="46">
        <f>SUMIF(B47:B1137,B20,N47:N1137)</f>
        <v>1</v>
      </c>
      <c r="O20" s="46">
        <f>SUMIF(B47:B1137,B20,O47:O1137)</f>
        <v>0</v>
      </c>
      <c r="P20" s="46">
        <f>SUMIF(B47:B1137,B20,J47:J1137)</f>
        <v>2</v>
      </c>
      <c r="Q20" s="46">
        <f>SUMIF(B47:B1137,B20,K47:K1137)</f>
        <v>0</v>
      </c>
      <c r="R20" s="50">
        <f>SUMIF(B47:B1137,B20,L47:L1137)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0.625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0.8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1</v>
      </c>
      <c r="G23" s="46">
        <f>SUMIF(B50:B1137,B23,H50:H1137)</f>
        <v>1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1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1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0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2.0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2.0</v>
      </c>
      <c r="H35" s="126">
        <v>1.0</v>
      </c>
      <c r="I35" s="126">
        <v>0.0</v>
      </c>
      <c r="J35" s="126">
        <v>0.0</v>
      </c>
      <c r="K35" s="126">
        <v>0.0</v>
      </c>
      <c r="L35" s="126">
        <v>1.0</v>
      </c>
      <c r="M35" s="126">
        <v>4.0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1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3.0</v>
      </c>
      <c r="H38" s="126">
        <v>1.0</v>
      </c>
      <c r="I38" s="126">
        <v>0.0</v>
      </c>
      <c r="J38" s="126">
        <v>1.0</v>
      </c>
      <c r="K38" s="126">
        <v>0.0</v>
      </c>
      <c r="L38" s="126">
        <v>0.0</v>
      </c>
      <c r="M38" s="126">
        <v>3.0</v>
      </c>
      <c r="N38" s="126">
        <v>1.0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0.3333333333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2.0</v>
      </c>
      <c r="H50" s="126">
        <v>2.0</v>
      </c>
      <c r="I50" s="126">
        <v>1.0</v>
      </c>
      <c r="J50" s="126">
        <v>1.0</v>
      </c>
      <c r="K50" s="126">
        <v>0.0</v>
      </c>
      <c r="L50" s="126">
        <v>1.0</v>
      </c>
      <c r="M50" s="126">
        <v>2.0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0.0</v>
      </c>
      <c r="T50" s="126">
        <v>774.0</v>
      </c>
      <c r="U50" s="71">
        <f t="shared" si="5"/>
        <v>0.5</v>
      </c>
      <c r="V50" s="71">
        <f t="shared" si="6"/>
        <v>1.5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5.0</v>
      </c>
      <c r="H56" s="126">
        <v>2.0</v>
      </c>
      <c r="I56" s="126">
        <v>0.0</v>
      </c>
      <c r="J56" s="126">
        <v>2.0</v>
      </c>
      <c r="K56" s="126">
        <v>0.0</v>
      </c>
      <c r="L56" s="126">
        <v>0.0</v>
      </c>
      <c r="M56" s="126">
        <v>0.0</v>
      </c>
      <c r="N56" s="126">
        <v>1.0</v>
      </c>
      <c r="O56" s="126">
        <v>0.0</v>
      </c>
      <c r="P56" s="126">
        <v>0.0</v>
      </c>
      <c r="Q56" s="126">
        <v>0.0</v>
      </c>
      <c r="R56" s="126">
        <v>1.0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0.4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2.0</v>
      </c>
      <c r="H60" s="126">
        <v>2.0</v>
      </c>
      <c r="I60" s="126">
        <v>0.0</v>
      </c>
      <c r="J60" s="126">
        <v>0.0</v>
      </c>
      <c r="K60" s="126">
        <v>0.0</v>
      </c>
      <c r="L60" s="126">
        <v>1.0</v>
      </c>
      <c r="M60" s="126">
        <v>4.0</v>
      </c>
      <c r="N60" s="126">
        <v>0.0</v>
      </c>
      <c r="O60" s="126">
        <v>0.0</v>
      </c>
      <c r="P60" s="126">
        <v>0.0</v>
      </c>
      <c r="Q60" s="126">
        <v>0.0</v>
      </c>
      <c r="R60" s="126">
        <v>2.0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1.5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1.0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1.0</v>
      </c>
      <c r="H73" s="126">
        <v>1.0</v>
      </c>
      <c r="I73" s="126">
        <v>0.0</v>
      </c>
      <c r="J73" s="126">
        <v>1.0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1.0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1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670</v>
      </c>
      <c r="D2" s="10"/>
      <c r="E2" s="9">
        <f t="shared" ref="E2:R2" si="1">SUM(E5,E14,E17)</f>
        <v>0</v>
      </c>
      <c r="F2" s="9">
        <f t="shared" si="1"/>
        <v>18</v>
      </c>
      <c r="G2" s="9">
        <f t="shared" si="1"/>
        <v>6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0</v>
      </c>
      <c r="M2" s="9">
        <f t="shared" si="1"/>
        <v>9</v>
      </c>
      <c r="N2" s="9">
        <f t="shared" si="1"/>
        <v>2</v>
      </c>
      <c r="O2" s="9">
        <f t="shared" si="1"/>
        <v>1</v>
      </c>
      <c r="P2" s="9">
        <f t="shared" si="1"/>
        <v>0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670</v>
      </c>
      <c r="F4" s="23">
        <f>IFERROR((G2+R2)/F2,0)</f>
        <v>0.4444444444</v>
      </c>
      <c r="G4" s="23">
        <f>IFERROR(H2/G2,0)</f>
        <v>0.1666666667</v>
      </c>
      <c r="H4" s="22">
        <f>(C2/C4)</f>
        <v>14.88888889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1.5</v>
      </c>
      <c r="N4" s="24"/>
      <c r="O4" s="23">
        <f>IFERROR(O2/N2,0)</f>
        <v>0.5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670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5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0</v>
      </c>
      <c r="M5" s="33">
        <f>SUMIF(A:A,B5,M:M)</f>
        <v>8</v>
      </c>
      <c r="N5" s="33">
        <f>SUMIF(A:A,B5,N:N)</f>
        <v>2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670</v>
      </c>
      <c r="F7" s="41">
        <f>IFERROR((G5+R5)/F5,0)</f>
        <v>0.875</v>
      </c>
      <c r="G7" s="41">
        <f>IFERROR(H5/G5,0)</f>
        <v>0.2</v>
      </c>
      <c r="H7" s="40">
        <f>(C5/C7)</f>
        <v>35.26315789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1.142857143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670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60.90909091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8</v>
      </c>
      <c r="G17" s="33">
        <f>SUMIF(A:A,B17,H:H)</f>
        <v>1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0</v>
      </c>
      <c r="M17" s="33">
        <f>SUMIF(A:A,B17,M:M)</f>
        <v>1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0.125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1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8</v>
      </c>
      <c r="G20" s="46">
        <f>SUMIF(B47:B1137,B20,H47:H1137)</f>
        <v>1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1</v>
      </c>
      <c r="L20" s="46">
        <f>SUMIF(B47:B1137,B20,S47:S1137)</f>
        <v>0</v>
      </c>
      <c r="M20" s="46">
        <f>SUMIF(B47:B1137,B20,M47:M1137)</f>
        <v>1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0.125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3.0</v>
      </c>
      <c r="H30" s="126">
        <v>3.0</v>
      </c>
      <c r="I30" s="126">
        <v>0.0</v>
      </c>
      <c r="J30" s="126">
        <v>0.0</v>
      </c>
      <c r="K30" s="126">
        <v>0.0</v>
      </c>
      <c r="L30" s="126">
        <v>2.0</v>
      </c>
      <c r="M30" s="126">
        <v>0.0</v>
      </c>
      <c r="N30" s="126">
        <v>1.0</v>
      </c>
      <c r="O30" s="126">
        <v>0.0</v>
      </c>
      <c r="P30" s="126">
        <v>0.0</v>
      </c>
      <c r="Q30" s="126">
        <v>0.0</v>
      </c>
      <c r="R30" s="126">
        <v>2.0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1.666666667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1.0</v>
      </c>
      <c r="H37" s="126">
        <v>1.0</v>
      </c>
      <c r="I37" s="126">
        <v>1.0</v>
      </c>
      <c r="J37" s="126">
        <v>0.0</v>
      </c>
      <c r="K37" s="126">
        <v>0.0</v>
      </c>
      <c r="L37" s="126">
        <v>0.0</v>
      </c>
      <c r="M37" s="126">
        <v>3.0</v>
      </c>
      <c r="N37" s="126">
        <v>1.0</v>
      </c>
      <c r="O37" s="126">
        <v>1.0</v>
      </c>
      <c r="P37" s="126">
        <v>0.0</v>
      </c>
      <c r="Q37" s="126">
        <v>0.0</v>
      </c>
      <c r="R37" s="126">
        <v>0.0</v>
      </c>
      <c r="S37" s="126">
        <v>0.0</v>
      </c>
      <c r="T37" s="126">
        <v>670.0</v>
      </c>
      <c r="U37" s="71">
        <f t="shared" si="3"/>
        <v>1</v>
      </c>
      <c r="V37" s="71">
        <f t="shared" si="4"/>
        <v>1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1.0</v>
      </c>
      <c r="I38" s="126">
        <v>0.0</v>
      </c>
      <c r="J38" s="126">
        <v>0.0</v>
      </c>
      <c r="K38" s="126">
        <v>0.0</v>
      </c>
      <c r="L38" s="126">
        <v>0.0</v>
      </c>
      <c r="M38" s="126">
        <v>5.0</v>
      </c>
      <c r="N38" s="126">
        <v>0.0</v>
      </c>
      <c r="O38" s="126">
        <v>0.0</v>
      </c>
      <c r="P38" s="126">
        <v>0.0</v>
      </c>
      <c r="Q38" s="126">
        <v>0.0</v>
      </c>
      <c r="R38" s="126">
        <v>1.0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2.0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66" si="7">IFERROR(I53/H53,0)</f>
        <v>0</v>
      </c>
      <c r="V53" s="71">
        <f t="shared" ref="V53:V66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3.0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1.0</v>
      </c>
      <c r="H60" s="126">
        <v>1.0</v>
      </c>
      <c r="I60" s="126">
        <v>0.0</v>
      </c>
      <c r="J60" s="126">
        <v>0.0</v>
      </c>
      <c r="K60" s="126">
        <v>0.0</v>
      </c>
      <c r="L60" s="126">
        <v>0.0</v>
      </c>
      <c r="M60" s="126">
        <v>1.0</v>
      </c>
      <c r="N60" s="126">
        <v>0.0</v>
      </c>
      <c r="O60" s="126">
        <v>0.0</v>
      </c>
      <c r="P60" s="126">
        <v>0.0</v>
      </c>
      <c r="Q60" s="126">
        <v>0.0</v>
      </c>
      <c r="R60" s="126">
        <v>1.0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1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4.0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>IFERROR(Fri!I67/Fri!H67,0)</f>
        <v>0.3333333333</v>
      </c>
      <c r="V67" s="71">
        <f>IFERROR(SUM(Fri!H67+Fri!L67)/Fri!G67,0)</f>
        <v>0.8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ref="U68:U74" si="9">IFERROR(I68/H68,0)</f>
        <v>0</v>
      </c>
      <c r="V68" s="71">
        <f t="shared" ref="V68:V74" si="10">IFERROR(SUM(H68+L68)/G68,0)</f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9"/>
        <v>0</v>
      </c>
      <c r="V69" s="71">
        <f t="shared" si="10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9"/>
        <v>0</v>
      </c>
      <c r="V70" s="71">
        <f t="shared" si="10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9"/>
        <v>0</v>
      </c>
      <c r="V71" s="71">
        <f t="shared" si="10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9"/>
        <v>0</v>
      </c>
      <c r="V72" s="71">
        <f t="shared" si="10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9"/>
        <v>0</v>
      </c>
      <c r="V73" s="71">
        <f t="shared" si="10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9"/>
        <v>0</v>
      </c>
      <c r="V74" s="71">
        <f t="shared" si="10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1392</v>
      </c>
      <c r="D2" s="10"/>
      <c r="E2" s="9">
        <f t="shared" ref="E2:R2" si="1">SUM(E5,E14,E17)</f>
        <v>1392</v>
      </c>
      <c r="F2" s="9">
        <f t="shared" si="1"/>
        <v>13</v>
      </c>
      <c r="G2" s="9">
        <f t="shared" si="1"/>
        <v>6</v>
      </c>
      <c r="H2" s="9">
        <f t="shared" si="1"/>
        <v>1</v>
      </c>
      <c r="I2" s="9">
        <f t="shared" si="1"/>
        <v>2</v>
      </c>
      <c r="J2" s="9">
        <f t="shared" si="1"/>
        <v>0</v>
      </c>
      <c r="K2" s="9">
        <f t="shared" si="1"/>
        <v>5</v>
      </c>
      <c r="L2" s="9">
        <f t="shared" si="1"/>
        <v>0</v>
      </c>
      <c r="M2" s="9">
        <f t="shared" si="1"/>
        <v>13</v>
      </c>
      <c r="N2" s="9">
        <f t="shared" si="1"/>
        <v>1</v>
      </c>
      <c r="O2" s="9">
        <f t="shared" si="1"/>
        <v>1</v>
      </c>
      <c r="P2" s="9">
        <f t="shared" si="1"/>
        <v>3</v>
      </c>
      <c r="Q2" s="9">
        <f t="shared" si="1"/>
        <v>0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1392</v>
      </c>
      <c r="F4" s="23">
        <f>IFERROR((G2+R2)/F2,0)</f>
        <v>0.7692307692</v>
      </c>
      <c r="G4" s="23">
        <f>IFERROR(H2/G2,0)</f>
        <v>0.1666666667</v>
      </c>
      <c r="H4" s="22">
        <f>(C2/C4)</f>
        <v>30.93333333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2.166666667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2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2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1392</v>
      </c>
      <c r="D17" s="31"/>
      <c r="E17" s="53">
        <f>SUMIFS(T:T,A:A,B17,D:D,"Y")</f>
        <v>1392</v>
      </c>
      <c r="F17" s="9">
        <f>SUMIF(A:A,B17,G:G)</f>
        <v>11</v>
      </c>
      <c r="G17" s="33">
        <f>SUMIF(A:A,B17,H:H)</f>
        <v>5</v>
      </c>
      <c r="H17" s="33">
        <f>SUMIF(A:A,B17,I:I)</f>
        <v>1</v>
      </c>
      <c r="I17" s="33">
        <f>SUMIF(A:A,B17,P:P)</f>
        <v>2</v>
      </c>
      <c r="J17" s="33">
        <f>SUMIF(A:A,B17,Q:Q)</f>
        <v>0</v>
      </c>
      <c r="K17" s="33">
        <f>SUMIF(A:A,B17,R:R)</f>
        <v>4</v>
      </c>
      <c r="L17" s="33">
        <f>SUMIF(A:A,B17,S:S)</f>
        <v>0</v>
      </c>
      <c r="M17" s="33">
        <f>SUMIF(A:A,B17,M:M)</f>
        <v>11</v>
      </c>
      <c r="N17" s="33">
        <f>SUMIF(A:A,B17,N:N)</f>
        <v>1</v>
      </c>
      <c r="O17" s="33">
        <f>SUMIF(A:A,B17,O:O)</f>
        <v>1</v>
      </c>
      <c r="P17" s="33">
        <f>SUMIF(A:A,B17,J:J)</f>
        <v>3</v>
      </c>
      <c r="Q17" s="33">
        <f>SUMIF(A:A,B17,K:K)</f>
        <v>0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1392</v>
      </c>
      <c r="F19" s="41">
        <f>IFERROR((G17+R17)/F17,0)</f>
        <v>0.7272727273</v>
      </c>
      <c r="G19" s="41">
        <f>IFERROR(H17/G17,0)</f>
        <v>0.2</v>
      </c>
      <c r="H19" s="40">
        <f>(C17/C19)</f>
        <v>63.27272727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1.375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1392</v>
      </c>
      <c r="D20" s="55"/>
      <c r="E20" s="48">
        <f>SUMIFS(T:T,B:B,B20,D:D,"Y")</f>
        <v>1392</v>
      </c>
      <c r="F20" s="49">
        <f>SUMIF(B47:B1137,B20,G47:G1137)</f>
        <v>11</v>
      </c>
      <c r="G20" s="46">
        <f>SUMIF(B47:B1137,B20,H47:H1137)</f>
        <v>5</v>
      </c>
      <c r="H20" s="46">
        <f>SUMIF(B47:B1137,B20,I47:I1137)</f>
        <v>1</v>
      </c>
      <c r="I20" s="46">
        <f>SUMIF(B47:B1137,B20,P47:P1137)</f>
        <v>2</v>
      </c>
      <c r="J20" s="46">
        <f>SUMIF(B47:B1137,B20,Q47:Q1137)</f>
        <v>0</v>
      </c>
      <c r="K20" s="46">
        <f>SUMIF(B47:B1137,B20,R47:R1137)</f>
        <v>4</v>
      </c>
      <c r="L20" s="46">
        <f>SUMIF(B47:B1137,B20,S47:S1137)</f>
        <v>0</v>
      </c>
      <c r="M20" s="46">
        <f>SUMIF(B47:B1137,B20,M47:M1137)</f>
        <v>11</v>
      </c>
      <c r="N20" s="46">
        <f>SUMIF(B47:B1137,B20,N47:N1137)</f>
        <v>1</v>
      </c>
      <c r="O20" s="46">
        <f>SUMIF(B47:B1137,B20,O47:O1137)</f>
        <v>1</v>
      </c>
      <c r="P20" s="46">
        <f>SUMIF(B47:B1137,B20,J47:J1137)</f>
        <v>3</v>
      </c>
      <c r="Q20" s="46">
        <f>SUMIF(B47:B1137,B20,K47:K1137)</f>
        <v>0</v>
      </c>
      <c r="R20" s="50">
        <f>SUMIF(B47:B1137,B20,L47:L1137)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1392</v>
      </c>
      <c r="F22" s="41">
        <f>IFERROR((G20+R20)/F20,0)</f>
        <v>0.7272727273</v>
      </c>
      <c r="G22" s="41">
        <f>IFERROR(H20/G20,0)</f>
        <v>0.2</v>
      </c>
      <c r="H22" s="40">
        <f>(C20/C22)</f>
        <v>99.42857143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1.375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1.0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1.0</v>
      </c>
      <c r="I50" s="126">
        <v>0.0</v>
      </c>
      <c r="J50" s="126">
        <v>0.0</v>
      </c>
      <c r="K50" s="126">
        <v>0.0</v>
      </c>
      <c r="L50" s="126">
        <v>1.0</v>
      </c>
      <c r="M50" s="126">
        <v>2.0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2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6.0</v>
      </c>
      <c r="H56" s="126">
        <v>2.0</v>
      </c>
      <c r="I56" s="126">
        <v>0.0</v>
      </c>
      <c r="J56" s="126">
        <v>3.0</v>
      </c>
      <c r="K56" s="126">
        <v>0.0</v>
      </c>
      <c r="L56" s="126">
        <v>2.0</v>
      </c>
      <c r="M56" s="126">
        <v>10.0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4.0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0.6666666667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5.0</v>
      </c>
      <c r="H67" s="126">
        <v>3.0</v>
      </c>
      <c r="I67" s="126">
        <v>1.0</v>
      </c>
      <c r="J67" s="126">
        <v>0.0</v>
      </c>
      <c r="K67" s="126">
        <v>0.0</v>
      </c>
      <c r="L67" s="126">
        <v>1.0</v>
      </c>
      <c r="M67" s="126">
        <v>1.0</v>
      </c>
      <c r="N67" s="126">
        <v>1.0</v>
      </c>
      <c r="O67" s="126">
        <v>1.0</v>
      </c>
      <c r="P67" s="126">
        <v>2.0</v>
      </c>
      <c r="Q67" s="126">
        <v>0.0</v>
      </c>
      <c r="R67" s="126">
        <v>0.0</v>
      </c>
      <c r="S67" s="126">
        <v>0.0</v>
      </c>
      <c r="T67" s="126">
        <v>1392.0</v>
      </c>
      <c r="U67" s="71">
        <f t="shared" si="7"/>
        <v>0.3333333333</v>
      </c>
      <c r="V67" s="71">
        <f t="shared" si="8"/>
        <v>0.8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897</v>
      </c>
      <c r="D2" s="10"/>
      <c r="E2" s="9">
        <f t="shared" ref="E2:R2" si="1">SUM(E5,E14,E17)</f>
        <v>897</v>
      </c>
      <c r="F2" s="9">
        <f t="shared" si="1"/>
        <v>5</v>
      </c>
      <c r="G2" s="9">
        <f t="shared" si="1"/>
        <v>3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6</v>
      </c>
      <c r="N2" s="9">
        <f t="shared" si="1"/>
        <v>1</v>
      </c>
      <c r="O2" s="9">
        <f t="shared" si="1"/>
        <v>1</v>
      </c>
      <c r="P2" s="9">
        <f t="shared" si="1"/>
        <v>2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897</v>
      </c>
      <c r="F4" s="23">
        <f>IFERROR((G2+R2)/F2,0)</f>
        <v>0.6</v>
      </c>
      <c r="G4" s="23">
        <f>IFERROR(H2/G2,0)</f>
        <v>0.3333333333</v>
      </c>
      <c r="H4" s="22">
        <f>(C2/C4)</f>
        <v>19.93333333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</v>
      </c>
      <c r="N4" s="24"/>
      <c r="O4" s="23">
        <f>IFERROR(O2/N2,0)</f>
        <v>1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897</v>
      </c>
      <c r="D17" s="31"/>
      <c r="E17" s="53">
        <f>SUMIFS(T:T,A:A,B17,D:D,"Y")</f>
        <v>897</v>
      </c>
      <c r="F17" s="9">
        <f>SUMIF(A:A,B17,G:G)</f>
        <v>4</v>
      </c>
      <c r="G17" s="33">
        <f>SUMIF(A:A,B17,H:H)</f>
        <v>3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0</v>
      </c>
      <c r="M17" s="33">
        <f>SUMIF(A:A,B17,M:M)</f>
        <v>6</v>
      </c>
      <c r="N17" s="33">
        <f>SUMIF(A:A,B17,N:N)</f>
        <v>1</v>
      </c>
      <c r="O17" s="33">
        <f>SUMIF(A:A,B17,O:O)</f>
        <v>1</v>
      </c>
      <c r="P17" s="33">
        <f>SUMIF(A:A,B17,J:J)</f>
        <v>2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897</v>
      </c>
      <c r="F19" s="41">
        <f>IFERROR((G17+R17)/F17,0)</f>
        <v>0.75</v>
      </c>
      <c r="G19" s="41">
        <f>IFERROR(H17/G17,0)</f>
        <v>0.3333333333</v>
      </c>
      <c r="H19" s="40">
        <f>(C17/C19)</f>
        <v>40.77272727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</v>
      </c>
      <c r="N19" s="42"/>
      <c r="O19" s="41">
        <f>IFERROR(O17/N17,0)</f>
        <v>1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897</v>
      </c>
      <c r="D20" s="55"/>
      <c r="E20" s="48">
        <f>SUMIFS(T:T,B:B,B20,D:D,"Y")</f>
        <v>897</v>
      </c>
      <c r="F20" s="49">
        <f>SUMIF(B47:B1137,B20,G47:G1137)</f>
        <v>4</v>
      </c>
      <c r="G20" s="46">
        <f>SUMIF(B47:B1137,B20,H47:H1137)</f>
        <v>3</v>
      </c>
      <c r="H20" s="46">
        <f>SUMIF(B47:B1137,B20,I47:I1137)</f>
        <v>1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2</v>
      </c>
      <c r="L20" s="46">
        <f>SUMIF(B47:B1137,B20,S47:S1137)</f>
        <v>0</v>
      </c>
      <c r="M20" s="46">
        <f>SUMIF(B47:B1137,B20,M47:M1137)</f>
        <v>6</v>
      </c>
      <c r="N20" s="46">
        <f>SUMIF(B47:B1137,B20,N47:N1137)</f>
        <v>1</v>
      </c>
      <c r="O20" s="46">
        <f>SUMIF(B47:B1137,B20,O47:O1137)</f>
        <v>1</v>
      </c>
      <c r="P20" s="46">
        <f>SUMIF(B47:B1137,B20,J47:J1137)</f>
        <v>2</v>
      </c>
      <c r="Q20" s="46">
        <f>SUMIF(B47:B1137,B20,K47:K1137)</f>
        <v>1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897</v>
      </c>
      <c r="F22" s="41">
        <f>IFERROR((G20+R20)/F20,0)</f>
        <v>0.75</v>
      </c>
      <c r="G22" s="41">
        <f>IFERROR(H20/G20,0)</f>
        <v>0.3333333333</v>
      </c>
      <c r="H22" s="40">
        <f>(C20/C22)</f>
        <v>64.07142857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2</v>
      </c>
      <c r="N22" s="42"/>
      <c r="O22" s="41">
        <f>IFERROR(O20/N20,0)</f>
        <v>1</v>
      </c>
      <c r="P22" s="43"/>
      <c r="Q22" s="41">
        <f>IFERROR(Q20/P20,0)</f>
        <v>0.5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3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131">
        <v>0.0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ref="U35:U46" si="5">IFERROR(I35/H35,0)</f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5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5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6">IFERROR(I48/H48,0)</f>
        <v>0</v>
      </c>
      <c r="V48" s="71">
        <f t="shared" ref="V48:V51" si="7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6"/>
        <v>0</v>
      </c>
      <c r="V49" s="71">
        <f t="shared" si="7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0.0</v>
      </c>
      <c r="H50" s="126">
        <v>0.0</v>
      </c>
      <c r="I50" s="126">
        <v>0.0</v>
      </c>
      <c r="J50" s="70"/>
      <c r="K50" s="126">
        <v>0.0</v>
      </c>
      <c r="L50" s="126">
        <v>0.0</v>
      </c>
      <c r="M50" s="126">
        <v>0.0</v>
      </c>
      <c r="N50" s="126">
        <v>0.0</v>
      </c>
      <c r="O50" s="70"/>
      <c r="P50" s="126">
        <v>0.0</v>
      </c>
      <c r="Q50" s="126">
        <v>0.0</v>
      </c>
      <c r="R50" s="126">
        <v>0.0</v>
      </c>
      <c r="S50" s="70"/>
      <c r="T50" s="126">
        <v>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74" si="8">IFERROR(I53/H53,0)</f>
        <v>0</v>
      </c>
      <c r="V53" s="71">
        <f t="shared" ref="V53:V74" si="9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8"/>
        <v>0</v>
      </c>
      <c r="V54" s="71">
        <f t="shared" si="9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2.0</v>
      </c>
      <c r="H56" s="126">
        <v>1.0</v>
      </c>
      <c r="I56" s="126">
        <v>0.0</v>
      </c>
      <c r="J56" s="126">
        <v>1.0</v>
      </c>
      <c r="K56" s="126">
        <v>0.0</v>
      </c>
      <c r="L56" s="126">
        <v>0.0</v>
      </c>
      <c r="M56" s="126">
        <v>6.0</v>
      </c>
      <c r="N56" s="126">
        <v>0.0</v>
      </c>
      <c r="O56" s="126">
        <v>0.0</v>
      </c>
      <c r="P56" s="126">
        <v>0.0</v>
      </c>
      <c r="Q56" s="126">
        <v>0.0</v>
      </c>
      <c r="R56" s="126">
        <v>1.0</v>
      </c>
      <c r="S56" s="126">
        <v>0.0</v>
      </c>
      <c r="T56" s="126">
        <v>0.0</v>
      </c>
      <c r="U56" s="71">
        <f t="shared" si="8"/>
        <v>0</v>
      </c>
      <c r="V56" s="71">
        <f t="shared" si="9"/>
        <v>0.5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2.0</v>
      </c>
      <c r="H60" s="126">
        <v>2.0</v>
      </c>
      <c r="I60" s="126">
        <v>1.0</v>
      </c>
      <c r="J60" s="126">
        <v>1.0</v>
      </c>
      <c r="K60" s="126">
        <v>1.0</v>
      </c>
      <c r="L60" s="126">
        <v>0.0</v>
      </c>
      <c r="M60" s="126">
        <v>0.0</v>
      </c>
      <c r="N60" s="126">
        <v>1.0</v>
      </c>
      <c r="O60" s="126">
        <v>1.0</v>
      </c>
      <c r="P60" s="126">
        <v>0.0</v>
      </c>
      <c r="Q60" s="126">
        <v>0.0</v>
      </c>
      <c r="R60" s="126">
        <v>1.0</v>
      </c>
      <c r="S60" s="126">
        <v>0.0</v>
      </c>
      <c r="T60" s="126">
        <v>897.0</v>
      </c>
      <c r="U60" s="71">
        <f t="shared" si="8"/>
        <v>0.5</v>
      </c>
      <c r="V60" s="71">
        <f t="shared" si="9"/>
        <v>1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8"/>
        <v>0</v>
      </c>
      <c r="V74" s="71">
        <f t="shared" si="9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4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70"/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31">
        <v>0.0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ref="U36:U46" si="5">IFERROR(I36/H36,0)</f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5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6">IFERROR(I48/H48,0)</f>
        <v>0</v>
      </c>
      <c r="V48" s="71">
        <f t="shared" ref="V48:V51" si="7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6"/>
        <v>0</v>
      </c>
      <c r="V49" s="71">
        <f t="shared" si="7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74" si="8">IFERROR(I53/H53,0)</f>
        <v>0</v>
      </c>
      <c r="V53" s="71">
        <f t="shared" ref="V53:V74" si="9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8"/>
        <v>0</v>
      </c>
      <c r="V54" s="71">
        <f t="shared" si="9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8"/>
        <v>0</v>
      </c>
      <c r="V74" s="71">
        <f t="shared" si="9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992</v>
      </c>
      <c r="D2" s="10"/>
      <c r="E2" s="9">
        <f t="shared" ref="E2:R2" si="1">SUM(E5,E14,E17)</f>
        <v>992</v>
      </c>
      <c r="F2" s="9">
        <f t="shared" si="1"/>
        <v>18</v>
      </c>
      <c r="G2" s="9">
        <f t="shared" si="1"/>
        <v>9</v>
      </c>
      <c r="H2" s="9">
        <f t="shared" si="1"/>
        <v>1</v>
      </c>
      <c r="I2" s="9">
        <f t="shared" si="1"/>
        <v>4</v>
      </c>
      <c r="J2" s="9">
        <f t="shared" si="1"/>
        <v>0</v>
      </c>
      <c r="K2" s="9">
        <f t="shared" si="1"/>
        <v>4</v>
      </c>
      <c r="L2" s="9">
        <f t="shared" si="1"/>
        <v>1</v>
      </c>
      <c r="M2" s="9">
        <f t="shared" si="1"/>
        <v>28</v>
      </c>
      <c r="N2" s="9">
        <f t="shared" si="1"/>
        <v>1</v>
      </c>
      <c r="O2" s="9">
        <f t="shared" si="1"/>
        <v>0</v>
      </c>
      <c r="P2" s="9">
        <f t="shared" si="1"/>
        <v>3</v>
      </c>
      <c r="Q2" s="9">
        <f t="shared" si="1"/>
        <v>0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992</v>
      </c>
      <c r="F4" s="23">
        <f>IFERROR((G2+R2)/F2,0)</f>
        <v>0.7222222222</v>
      </c>
      <c r="G4" s="23">
        <f>IFERROR(H2/G2,0)</f>
        <v>0.1111111111</v>
      </c>
      <c r="H4" s="22">
        <f>(C2/C4)</f>
        <v>22.04444444</v>
      </c>
      <c r="I4" s="24"/>
      <c r="J4" s="23">
        <f>IFERROR(J2/I2,0)</f>
        <v>0</v>
      </c>
      <c r="K4" s="24"/>
      <c r="L4" s="23">
        <f>IFERROR(L2/K2,0)</f>
        <v>0.25</v>
      </c>
      <c r="M4" s="25">
        <f>IFERROR(M2/G2,0)</f>
        <v>3.111111111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22</v>
      </c>
      <c r="N5" s="33">
        <f>SUMIF(A:A,B5,N:N)</f>
        <v>1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0.8571428571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2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0.1428571429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2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992</v>
      </c>
      <c r="D17" s="31"/>
      <c r="E17" s="53">
        <f>SUMIFS(T:T,A:A,B17,D:D,"Y")</f>
        <v>992</v>
      </c>
      <c r="F17" s="9">
        <f>SUMIF(A:A,B17,G:G)</f>
        <v>11</v>
      </c>
      <c r="G17" s="33">
        <f>SUMIF(A:A,B17,H:H)</f>
        <v>5</v>
      </c>
      <c r="H17" s="33">
        <f>SUMIF(A:A,B17,I:I)</f>
        <v>1</v>
      </c>
      <c r="I17" s="33">
        <f>SUMIF(A:A,B17,P:P)</f>
        <v>4</v>
      </c>
      <c r="J17" s="33">
        <f>SUMIF(A:A,B17,Q:Q)</f>
        <v>0</v>
      </c>
      <c r="K17" s="33">
        <f>SUMIF(A:A,B17,R:R)</f>
        <v>3</v>
      </c>
      <c r="L17" s="33">
        <f>SUMIF(A:A,B17,S:S)</f>
        <v>1</v>
      </c>
      <c r="M17" s="33">
        <f>SUMIF(A:A,B17,M:M)</f>
        <v>6</v>
      </c>
      <c r="N17" s="33">
        <f>SUMIF(A:A,B17,N:N)</f>
        <v>0</v>
      </c>
      <c r="O17" s="33">
        <f>SUMIF(A:A,B17,O:O)</f>
        <v>0</v>
      </c>
      <c r="P17" s="33">
        <f>SUMIF(A:A,B17,J:J)</f>
        <v>1</v>
      </c>
      <c r="Q17" s="33">
        <f>SUMIF(A:A,B17,K:K)</f>
        <v>0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992</v>
      </c>
      <c r="F19" s="41">
        <f>IFERROR((G17+R17)/F17,0)</f>
        <v>0.6363636364</v>
      </c>
      <c r="G19" s="41">
        <f>IFERROR(H17/G17,0)</f>
        <v>0.2</v>
      </c>
      <c r="H19" s="40">
        <f>(C17/C19)</f>
        <v>45.09090909</v>
      </c>
      <c r="I19" s="42"/>
      <c r="J19" s="41">
        <f>IFERROR(J17/I17,0)</f>
        <v>0</v>
      </c>
      <c r="K19" s="42"/>
      <c r="L19" s="41">
        <f>IFERROR(L17/K17,0)</f>
        <v>0.3333333333</v>
      </c>
      <c r="M19" s="54">
        <f>IFERROR(M17/SUM(G17+R17,0),"")</f>
        <v>0.8571428571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992</v>
      </c>
      <c r="D20" s="55"/>
      <c r="E20" s="48">
        <f>SUMIFS(T:T,B:B,B20,D:D,"Y")</f>
        <v>992</v>
      </c>
      <c r="F20" s="49">
        <f>SUMIF(B47:B1137,B20,G47:G1137)</f>
        <v>11</v>
      </c>
      <c r="G20" s="46">
        <f>SUMIF(B47:B1137,B20,H47:H1137)</f>
        <v>5</v>
      </c>
      <c r="H20" s="46">
        <f>SUMIF(B47:B1137,B20,I47:I1137)</f>
        <v>1</v>
      </c>
      <c r="I20" s="46">
        <f>SUMIF(B47:B1137,B20,P47:P1137)</f>
        <v>4</v>
      </c>
      <c r="J20" s="46">
        <f>SUMIF(B47:B1137,B20,Q47:Q1137)</f>
        <v>0</v>
      </c>
      <c r="K20" s="46">
        <f>SUMIF(B47:B1137,B20,R47:R1137)</f>
        <v>3</v>
      </c>
      <c r="L20" s="46">
        <f>SUMIF(B47:B1137,B20,S47:S1137)</f>
        <v>1</v>
      </c>
      <c r="M20" s="46">
        <f>SUMIF(B47:B1137,B20,M47:M1137)</f>
        <v>6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1</v>
      </c>
      <c r="Q20" s="46">
        <f>SUMIF(B47:B1137,B20,K47:K1137)</f>
        <v>0</v>
      </c>
      <c r="R20" s="50">
        <f>SUMIF(B47:B1137,B20,L47:L1137)</f>
        <v>2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992</v>
      </c>
      <c r="F22" s="41">
        <f>IFERROR((G20+R20)/F20,0)</f>
        <v>0.6363636364</v>
      </c>
      <c r="G22" s="41">
        <f>IFERROR(H20/G20,0)</f>
        <v>0.2</v>
      </c>
      <c r="H22" s="40">
        <f>(C20/C22)</f>
        <v>70.85714286</v>
      </c>
      <c r="I22" s="42"/>
      <c r="J22" s="41">
        <f>IFERROR(J20/I20,0)</f>
        <v>0</v>
      </c>
      <c r="K22" s="42"/>
      <c r="L22" s="41">
        <f>IFERROR(L20/K20,0)</f>
        <v>0.3333333333</v>
      </c>
      <c r="M22" s="43">
        <f>IFERROR(M20/SUM(G20+R20,0),"")</f>
        <v>0.8571428571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1.0</v>
      </c>
      <c r="I30" s="126">
        <v>0.0</v>
      </c>
      <c r="J30" s="126">
        <v>1.0</v>
      </c>
      <c r="K30" s="126">
        <v>0.0</v>
      </c>
      <c r="L30" s="126">
        <v>1.0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1.0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1.0</v>
      </c>
      <c r="I33" s="126">
        <v>0.0</v>
      </c>
      <c r="J33" s="126">
        <v>1.0</v>
      </c>
      <c r="K33" s="126">
        <v>0.0</v>
      </c>
      <c r="L33" s="126">
        <v>1.0</v>
      </c>
      <c r="M33" s="126">
        <v>7.0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2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3.0</v>
      </c>
      <c r="H35" s="126">
        <v>1.0</v>
      </c>
      <c r="I35" s="126">
        <v>0.0</v>
      </c>
      <c r="J35" s="126">
        <v>0.0</v>
      </c>
      <c r="K35" s="126">
        <v>0.0</v>
      </c>
      <c r="L35" s="126">
        <v>0.0</v>
      </c>
      <c r="M35" s="126">
        <v>9.0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0.3333333333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1.0</v>
      </c>
      <c r="I38" s="126">
        <v>0.0</v>
      </c>
      <c r="J38" s="126">
        <v>0.0</v>
      </c>
      <c r="K38" s="126">
        <v>0.0</v>
      </c>
      <c r="L38" s="126">
        <v>0.0</v>
      </c>
      <c r="M38" s="126">
        <v>6.0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32">
        <v>0.0</v>
      </c>
      <c r="H53" s="132">
        <v>0.0</v>
      </c>
      <c r="I53" s="132">
        <v>0.0</v>
      </c>
      <c r="J53" s="132">
        <v>0.0</v>
      </c>
      <c r="K53" s="132">
        <v>0.0</v>
      </c>
      <c r="L53" s="132">
        <v>0.0</v>
      </c>
      <c r="M53" s="132">
        <v>0.0</v>
      </c>
      <c r="N53" s="132">
        <v>0.0</v>
      </c>
      <c r="O53" s="132">
        <v>0.0</v>
      </c>
      <c r="P53" s="132">
        <v>0.0</v>
      </c>
      <c r="Q53" s="132">
        <v>0.0</v>
      </c>
      <c r="R53" s="132">
        <v>0.0</v>
      </c>
      <c r="S53" s="132">
        <v>0.0</v>
      </c>
      <c r="T53" s="132">
        <v>0.0</v>
      </c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6.0</v>
      </c>
      <c r="H56" s="126">
        <v>2.0</v>
      </c>
      <c r="I56" s="126">
        <v>1.0</v>
      </c>
      <c r="J56" s="126">
        <v>0.0</v>
      </c>
      <c r="K56" s="126">
        <v>0.0</v>
      </c>
      <c r="L56" s="126">
        <v>0.0</v>
      </c>
      <c r="M56" s="126">
        <v>4.0</v>
      </c>
      <c r="N56" s="126">
        <v>0.0</v>
      </c>
      <c r="O56" s="126">
        <v>0.0</v>
      </c>
      <c r="P56" s="126">
        <v>0.0</v>
      </c>
      <c r="Q56" s="126">
        <v>0.0</v>
      </c>
      <c r="R56" s="126">
        <v>2.0</v>
      </c>
      <c r="S56" s="126">
        <v>1.0</v>
      </c>
      <c r="T56" s="126">
        <v>992.0</v>
      </c>
      <c r="U56" s="71">
        <f t="shared" si="7"/>
        <v>0.5</v>
      </c>
      <c r="V56" s="71">
        <f t="shared" si="8"/>
        <v>0.3333333333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1.0</v>
      </c>
      <c r="H61" s="126">
        <v>0.0</v>
      </c>
      <c r="I61" s="126">
        <v>0.0</v>
      </c>
      <c r="J61" s="126">
        <v>1.0</v>
      </c>
      <c r="K61" s="126">
        <v>0.0</v>
      </c>
      <c r="L61" s="126">
        <v>1.0</v>
      </c>
      <c r="M61" s="126">
        <v>2.0</v>
      </c>
      <c r="N61" s="126">
        <v>0.0</v>
      </c>
      <c r="O61" s="126">
        <v>0.0</v>
      </c>
      <c r="P61" s="126">
        <v>0.0</v>
      </c>
      <c r="Q61" s="126">
        <v>0.0</v>
      </c>
      <c r="R61" s="126">
        <v>1.0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1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4.0</v>
      </c>
      <c r="H67" s="126">
        <v>3.0</v>
      </c>
      <c r="I67" s="126">
        <v>0.0</v>
      </c>
      <c r="J67" s="126">
        <v>0.0</v>
      </c>
      <c r="K67" s="126">
        <v>0.0</v>
      </c>
      <c r="L67" s="126">
        <v>1.0</v>
      </c>
      <c r="M67" s="126">
        <v>0.0</v>
      </c>
      <c r="N67" s="126">
        <v>0.0</v>
      </c>
      <c r="O67" s="126">
        <v>0.0</v>
      </c>
      <c r="P67" s="126">
        <v>4.0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1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1915</v>
      </c>
      <c r="D2" s="10"/>
      <c r="E2" s="9">
        <f t="shared" ref="E2:R2" si="1">SUM(E5,E14,E17)</f>
        <v>0</v>
      </c>
      <c r="F2" s="9">
        <f t="shared" si="1"/>
        <v>15</v>
      </c>
      <c r="G2" s="9">
        <f t="shared" si="1"/>
        <v>5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13</v>
      </c>
      <c r="N2" s="9">
        <f t="shared" si="1"/>
        <v>1</v>
      </c>
      <c r="O2" s="9">
        <f t="shared" si="1"/>
        <v>1</v>
      </c>
      <c r="P2" s="9">
        <f t="shared" si="1"/>
        <v>2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957.5</v>
      </c>
      <c r="F4" s="23">
        <f>IFERROR((G2+R2)/F2,0)</f>
        <v>0.4</v>
      </c>
      <c r="G4" s="23">
        <f>IFERROR(H2/G2,0)</f>
        <v>0.4</v>
      </c>
      <c r="H4" s="22">
        <f>(C2/C4)</f>
        <v>42.55555556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2.6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9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0.375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0.1666666667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1915</v>
      </c>
      <c r="D17" s="31"/>
      <c r="E17" s="53">
        <f>SUMIFS(T:T,A:A,B17,D:D,"Y")</f>
        <v>0</v>
      </c>
      <c r="F17" s="9">
        <f>SUMIF(A:A,B17,G:G)</f>
        <v>6</v>
      </c>
      <c r="G17" s="33">
        <f>SUMIF(A:A,B17,H:H)</f>
        <v>3</v>
      </c>
      <c r="H17" s="33">
        <f>SUMIF(A:A,B17,I:I)</f>
        <v>2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4</v>
      </c>
      <c r="N17" s="33">
        <f>SUMIF(A:A,B17,N:N)</f>
        <v>1</v>
      </c>
      <c r="O17" s="33">
        <f>SUMIF(A:A,B17,O:O)</f>
        <v>1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957.5</v>
      </c>
      <c r="F19" s="41">
        <f>IFERROR((G17+R17)/F17,0)</f>
        <v>0.5</v>
      </c>
      <c r="G19" s="41">
        <f>IFERROR(H17/G17,0)</f>
        <v>0.6666666667</v>
      </c>
      <c r="H19" s="40">
        <f>(C17/C19)</f>
        <v>87.04545455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1.333333333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1915</v>
      </c>
      <c r="D20" s="55"/>
      <c r="E20" s="48">
        <f>SUMIFS(T:T,B:B,B20,D:D,"Y")</f>
        <v>0</v>
      </c>
      <c r="F20" s="49">
        <f>SUMIF(B47:B1137,B20,G47:G1137)</f>
        <v>6</v>
      </c>
      <c r="G20" s="46">
        <f>SUMIF(B47:B1137,B20,H47:H1137)</f>
        <v>3</v>
      </c>
      <c r="H20" s="46">
        <f>SUMIF(B47:B1137,B20,I47:I1137)</f>
        <v>2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2</v>
      </c>
      <c r="L20" s="46">
        <f>SUMIF(B47:B1137,B20,S47:S1137)</f>
        <v>1</v>
      </c>
      <c r="M20" s="46">
        <f>SUMIF(B47:B1137,B20,M47:M1137)</f>
        <v>4</v>
      </c>
      <c r="N20" s="46">
        <f>SUMIF(B47:B1137,B20,N47:N1137)</f>
        <v>1</v>
      </c>
      <c r="O20" s="46">
        <f>SUMIF(B47:B1137,B20,O47:O1137)</f>
        <v>1</v>
      </c>
      <c r="P20" s="46">
        <f>SUMIF(B47:B1137,B20,J47:J1137)</f>
        <v>1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957.5</v>
      </c>
      <c r="F22" s="41">
        <f>IFERROR((G20+R20)/F20,0)</f>
        <v>0.5</v>
      </c>
      <c r="G22" s="41">
        <f>IFERROR(H20/G20,0)</f>
        <v>0.6666666667</v>
      </c>
      <c r="H22" s="40">
        <f>(C20/C22)</f>
        <v>136.7857143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1.333333333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4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2.0</v>
      </c>
      <c r="H30" s="126">
        <v>1.0</v>
      </c>
      <c r="I30" s="126">
        <v>0.0</v>
      </c>
      <c r="J30" s="126">
        <v>1.0</v>
      </c>
      <c r="K30" s="126">
        <v>0.0</v>
      </c>
      <c r="L30" s="126">
        <v>1.0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3.0</v>
      </c>
      <c r="H35" s="126">
        <v>1.0</v>
      </c>
      <c r="I35" s="126">
        <v>0.0</v>
      </c>
      <c r="J35" s="126">
        <v>0.0</v>
      </c>
      <c r="K35" s="126">
        <v>0.0</v>
      </c>
      <c r="L35" s="126">
        <v>0.0</v>
      </c>
      <c r="M35" s="126">
        <v>9.0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31">
        <v>0.0</v>
      </c>
      <c r="V35" s="71">
        <f t="shared" si="4"/>
        <v>0.3333333333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ref="U36:U46" si="5">IFERROR(I36/H36,0)</f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5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6">IFERROR(I48/H48,0)</f>
        <v>0</v>
      </c>
      <c r="V48" s="71">
        <f t="shared" ref="V48:V51" si="7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6"/>
        <v>0</v>
      </c>
      <c r="V49" s="71">
        <f t="shared" si="7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ref="U53:U74" si="8">IFERROR(I53/H53,0)</f>
        <v>0</v>
      </c>
      <c r="V53" s="71">
        <f t="shared" ref="V53:V74" si="9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8"/>
        <v>0</v>
      </c>
      <c r="V54" s="71">
        <f t="shared" si="9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126">
        <v>2.0</v>
      </c>
      <c r="H56" s="126">
        <v>1.0</v>
      </c>
      <c r="I56" s="126">
        <v>0.0</v>
      </c>
      <c r="J56" s="126">
        <v>1.0</v>
      </c>
      <c r="K56" s="126">
        <v>0.0</v>
      </c>
      <c r="L56" s="126">
        <v>0.0</v>
      </c>
      <c r="M56" s="126">
        <v>1.0</v>
      </c>
      <c r="N56" s="126">
        <v>0.0</v>
      </c>
      <c r="O56" s="126">
        <v>0.0</v>
      </c>
      <c r="P56" s="126">
        <v>0.0</v>
      </c>
      <c r="Q56" s="126">
        <v>0.0</v>
      </c>
      <c r="R56" s="126">
        <v>1.0</v>
      </c>
      <c r="S56" s="126">
        <v>0.0</v>
      </c>
      <c r="T56" s="126">
        <v>0.0</v>
      </c>
      <c r="U56" s="71">
        <f t="shared" si="8"/>
        <v>0</v>
      </c>
      <c r="V56" s="71">
        <f t="shared" si="9"/>
        <v>0.5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126">
        <v>4.0</v>
      </c>
      <c r="H61" s="126">
        <v>2.0</v>
      </c>
      <c r="I61" s="126">
        <v>2.0</v>
      </c>
      <c r="J61" s="126">
        <v>0.0</v>
      </c>
      <c r="K61" s="126">
        <v>0.0</v>
      </c>
      <c r="L61" s="126">
        <v>0.0</v>
      </c>
      <c r="M61" s="126">
        <v>3.0</v>
      </c>
      <c r="N61" s="126">
        <v>1.0</v>
      </c>
      <c r="O61" s="126">
        <v>1.0</v>
      </c>
      <c r="P61" s="126">
        <v>0.0</v>
      </c>
      <c r="Q61" s="126">
        <v>0.0</v>
      </c>
      <c r="R61" s="126">
        <v>1.0</v>
      </c>
      <c r="S61" s="126">
        <v>1.0</v>
      </c>
      <c r="T61" s="126">
        <v>1915.0</v>
      </c>
      <c r="U61" s="71">
        <f t="shared" si="8"/>
        <v>1</v>
      </c>
      <c r="V61" s="71">
        <f t="shared" si="9"/>
        <v>0.5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8"/>
        <v>0</v>
      </c>
      <c r="V74" s="71">
        <f t="shared" si="9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1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3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126">
        <v>1.0</v>
      </c>
      <c r="H50" s="126">
        <v>1.0</v>
      </c>
      <c r="I50" s="126">
        <v>0.0</v>
      </c>
      <c r="J50" s="126">
        <v>1.0</v>
      </c>
      <c r="K50" s="126">
        <v>0.0</v>
      </c>
      <c r="L50" s="126">
        <v>0.0</v>
      </c>
      <c r="M50" s="126">
        <v>3.0</v>
      </c>
      <c r="N50" s="126">
        <v>0.0</v>
      </c>
      <c r="O50" s="126">
        <v>0.0</v>
      </c>
      <c r="P50" s="126">
        <v>0.0</v>
      </c>
      <c r="Q50" s="126">
        <v>0.0</v>
      </c>
      <c r="R50" s="126">
        <v>1.0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1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SUMIF(B47:B1137,B20,G47:G1137)</f>
        <v>0</v>
      </c>
      <c r="G20" s="46">
        <f>SUMIF(B47:B1137,B20,H47:H1137)</f>
        <v>0</v>
      </c>
      <c r="H20" s="46">
        <f>SUMIF(B47:B1137,B20,I47:I1137)</f>
        <v>0</v>
      </c>
      <c r="I20" s="46">
        <f>SUMIF(B47:B1137,B20,P47:P1137)</f>
        <v>0</v>
      </c>
      <c r="J20" s="46">
        <f>SUMIF(B47:B1137,B20,Q47:Q1137)</f>
        <v>0</v>
      </c>
      <c r="K20" s="46">
        <f>SUMIF(B47:B1137,B20,R47:R1137)</f>
        <v>0</v>
      </c>
      <c r="L20" s="46">
        <f>SUMIF(B47:B1137,B20,S47:S1137)</f>
        <v>0</v>
      </c>
      <c r="M20" s="46">
        <f>SUMIF(B47:B1137,B20,M47:M1137)</f>
        <v>0</v>
      </c>
      <c r="N20" s="46">
        <f>SUMIF(B47:B1137,B20,N47:N1137)</f>
        <v>0</v>
      </c>
      <c r="O20" s="46">
        <f>SUMIF(B47:B1137,B20,O47:O1137)</f>
        <v>0</v>
      </c>
      <c r="P20" s="46">
        <f>SUMIF(B47:B1137,B20,J47:J1137)</f>
        <v>0</v>
      </c>
      <c r="Q20" s="46">
        <f>SUMIF(B47:B1137,B20,K47:K1137)</f>
        <v>0</v>
      </c>
      <c r="R20" s="50">
        <f>SUMIF(B47:B1137,B20,L47:L1137)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SUMIF(B50:B1137,B23,G50:G1137)</f>
        <v>0</v>
      </c>
      <c r="G23" s="46">
        <f>SUMIF(B50:B1137,B23,H50:H1137)</f>
        <v>0</v>
      </c>
      <c r="H23" s="46">
        <f>SUMIF(B50:B1137,B23,I50:I1137)</f>
        <v>0</v>
      </c>
      <c r="I23" s="46">
        <f>SUMIF(B50:B1137,B23,P50:P1137)</f>
        <v>0</v>
      </c>
      <c r="J23" s="46">
        <f>SUMIF(B50:B1137,B23,Q50:Q1137)</f>
        <v>0</v>
      </c>
      <c r="K23" s="46">
        <f>SUMIF(B50:B1137,B23,R50:R1137)</f>
        <v>0</v>
      </c>
      <c r="L23" s="46">
        <f>SUMIF(B50:B1137,B23,S50:S1137)</f>
        <v>0</v>
      </c>
      <c r="M23" s="46">
        <f>SUMIF(B50:B1137,B23,M50:M1137)</f>
        <v>0</v>
      </c>
      <c r="N23" s="46">
        <f>SUMIF(B50:B1137,B23,N50:N1137)</f>
        <v>0</v>
      </c>
      <c r="O23" s="46">
        <f>SUMIF(B50:B1137,B23,O50:O1137)</f>
        <v>0</v>
      </c>
      <c r="P23" s="46">
        <f>SUMIF(B50:B1137,B23,J50:J1137)</f>
        <v>0</v>
      </c>
      <c r="Q23" s="46">
        <f>SUMIF(B50:B1137,B23,K50:K1137)</f>
        <v>0</v>
      </c>
      <c r="R23" s="50">
        <f>SUMIF(B50:B1137,B23,L50:L1137)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6" si="3">IFERROR(I28/H28,0)</f>
        <v>0</v>
      </c>
      <c r="V28" s="71">
        <f t="shared" ref="V28:V46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59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8" t="s">
        <v>26</v>
      </c>
      <c r="B42" s="79" t="s">
        <v>27</v>
      </c>
      <c r="C42" s="94"/>
      <c r="D42" s="79" t="s">
        <v>49</v>
      </c>
      <c r="E42" s="95"/>
      <c r="F42" s="79" t="s">
        <v>27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61" t="s">
        <v>33</v>
      </c>
      <c r="B47" s="62" t="s">
        <v>34</v>
      </c>
      <c r="C47" s="62" t="s">
        <v>35</v>
      </c>
      <c r="D47" s="63"/>
      <c r="E47" s="62" t="s">
        <v>36</v>
      </c>
      <c r="F47" s="62" t="s">
        <v>37</v>
      </c>
      <c r="G47" s="64" t="s">
        <v>38</v>
      </c>
      <c r="H47" s="64" t="s">
        <v>39</v>
      </c>
      <c r="I47" s="64" t="s">
        <v>40</v>
      </c>
      <c r="J47" s="64" t="s">
        <v>12</v>
      </c>
      <c r="K47" s="64" t="s">
        <v>41</v>
      </c>
      <c r="L47" s="64" t="s">
        <v>14</v>
      </c>
      <c r="M47" s="64" t="s">
        <v>9</v>
      </c>
      <c r="N47" s="64" t="s">
        <v>10</v>
      </c>
      <c r="O47" s="64" t="s">
        <v>42</v>
      </c>
      <c r="P47" s="64" t="s">
        <v>5</v>
      </c>
      <c r="Q47" s="64" t="s">
        <v>43</v>
      </c>
      <c r="R47" s="64" t="s">
        <v>44</v>
      </c>
      <c r="S47" s="64" t="s">
        <v>45</v>
      </c>
      <c r="T47" s="64" t="s">
        <v>0</v>
      </c>
      <c r="U47" s="62" t="s">
        <v>46</v>
      </c>
      <c r="V47" s="62" t="s">
        <v>47</v>
      </c>
      <c r="W47" s="97"/>
    </row>
    <row r="48" ht="12.75" customHeight="1">
      <c r="A48" s="66" t="s">
        <v>29</v>
      </c>
      <c r="B48" s="67"/>
      <c r="C48" s="67"/>
      <c r="D48" s="68" t="s">
        <v>49</v>
      </c>
      <c r="E48" s="69"/>
      <c r="F48" s="68" t="s">
        <v>29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ref="U48:U51" si="5">IFERROR(I48/H48,0)</f>
        <v>0</v>
      </c>
      <c r="V48" s="71">
        <f t="shared" ref="V48:V51" si="6">IFERROR(SUM(H48+L48)/G48,0)</f>
        <v>0</v>
      </c>
      <c r="W48" s="72"/>
    </row>
    <row r="49" ht="12.75" customHeight="1">
      <c r="A49" s="73" t="s">
        <v>29</v>
      </c>
      <c r="B49" s="77"/>
      <c r="C49" s="75"/>
      <c r="D49" s="75"/>
      <c r="E49" s="75"/>
      <c r="F49" s="77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2" t="s">
        <v>29</v>
      </c>
      <c r="B50" s="84"/>
      <c r="C50" s="98" t="s">
        <v>67</v>
      </c>
      <c r="D50" s="99" t="s">
        <v>49</v>
      </c>
      <c r="E50" s="84"/>
      <c r="F50" s="9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5" t="s">
        <v>29</v>
      </c>
      <c r="B51" s="86"/>
      <c r="C51" s="86" t="s">
        <v>67</v>
      </c>
      <c r="D51" s="84"/>
      <c r="E51" s="84"/>
      <c r="F51" s="8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20.25" customHeight="1">
      <c r="A52" s="61" t="s">
        <v>33</v>
      </c>
      <c r="B52" s="62" t="s">
        <v>34</v>
      </c>
      <c r="C52" s="62" t="s">
        <v>35</v>
      </c>
      <c r="D52" s="63"/>
      <c r="E52" s="62" t="s">
        <v>36</v>
      </c>
      <c r="F52" s="62" t="s">
        <v>37</v>
      </c>
      <c r="G52" s="64" t="s">
        <v>38</v>
      </c>
      <c r="H52" s="64" t="s">
        <v>39</v>
      </c>
      <c r="I52" s="64" t="s">
        <v>40</v>
      </c>
      <c r="J52" s="64" t="s">
        <v>12</v>
      </c>
      <c r="K52" s="64" t="s">
        <v>41</v>
      </c>
      <c r="L52" s="64" t="s">
        <v>14</v>
      </c>
      <c r="M52" s="64" t="s">
        <v>9</v>
      </c>
      <c r="N52" s="64" t="s">
        <v>10</v>
      </c>
      <c r="O52" s="64" t="s">
        <v>42</v>
      </c>
      <c r="P52" s="64" t="s">
        <v>5</v>
      </c>
      <c r="Q52" s="64" t="s">
        <v>43</v>
      </c>
      <c r="R52" s="64" t="s">
        <v>44</v>
      </c>
      <c r="S52" s="64" t="s">
        <v>45</v>
      </c>
      <c r="T52" s="64" t="s">
        <v>0</v>
      </c>
      <c r="U52" s="62" t="s">
        <v>46</v>
      </c>
      <c r="V52" s="62" t="s">
        <v>47</v>
      </c>
      <c r="W52" s="97"/>
    </row>
    <row r="53" ht="12.75" customHeight="1">
      <c r="A53" s="100" t="s">
        <v>30</v>
      </c>
      <c r="B53" s="59"/>
      <c r="C53" s="59"/>
      <c r="D53" s="101" t="s">
        <v>49</v>
      </c>
      <c r="E53" s="59"/>
      <c r="F53" s="100" t="s">
        <v>30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ref="U53:U74" si="7">IFERROR(I53/H53,0)</f>
        <v>0</v>
      </c>
      <c r="V53" s="71">
        <f t="shared" ref="V53:V74" si="8">IFERROR(SUM(H53+L53)/G53,0)</f>
        <v>0</v>
      </c>
      <c r="W53" s="72"/>
    </row>
    <row r="54" ht="12.75" customHeight="1">
      <c r="A54" s="102" t="s">
        <v>30</v>
      </c>
      <c r="B54" s="59"/>
      <c r="C54" s="59"/>
      <c r="D54" s="58"/>
      <c r="E54" s="75"/>
      <c r="F54" s="102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3" t="s">
        <v>30</v>
      </c>
      <c r="B55" s="103"/>
      <c r="C55" s="103"/>
      <c r="D55" s="58"/>
      <c r="E55" s="75"/>
      <c r="F55" s="104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5" t="s">
        <v>30</v>
      </c>
      <c r="B56" s="105" t="s">
        <v>31</v>
      </c>
      <c r="C56" s="106"/>
      <c r="D56" s="107" t="s">
        <v>49</v>
      </c>
      <c r="E56" s="95"/>
      <c r="F56" s="105" t="s">
        <v>31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3" t="s">
        <v>31</v>
      </c>
      <c r="C57" s="103"/>
      <c r="D57" s="108"/>
      <c r="E57" s="69"/>
      <c r="F57" s="109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59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2" t="s">
        <v>31</v>
      </c>
      <c r="C59" s="102"/>
      <c r="D59" s="59"/>
      <c r="E59" s="75"/>
      <c r="F59" s="102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0" t="s">
        <v>30</v>
      </c>
      <c r="B60" s="110" t="s">
        <v>31</v>
      </c>
      <c r="C60" s="110" t="s">
        <v>74</v>
      </c>
      <c r="D60" s="99" t="s">
        <v>49</v>
      </c>
      <c r="E60" s="84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74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74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74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74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74</v>
      </c>
      <c r="D65" s="112"/>
      <c r="E65" s="84"/>
      <c r="F65" s="113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00" t="s">
        <v>30</v>
      </c>
      <c r="B66" s="100" t="s">
        <v>31</v>
      </c>
      <c r="C66" s="100" t="s">
        <v>80</v>
      </c>
      <c r="D66" s="114" t="s">
        <v>49</v>
      </c>
      <c r="E66" s="75"/>
      <c r="F66" s="100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0" t="s">
        <v>30</v>
      </c>
      <c r="B67" s="110" t="s">
        <v>31</v>
      </c>
      <c r="C67" s="115" t="s">
        <v>81</v>
      </c>
      <c r="D67" s="116" t="s">
        <v>49</v>
      </c>
      <c r="E67" s="117"/>
      <c r="F67" s="115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81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3" t="s">
        <v>81</v>
      </c>
      <c r="D69" s="118"/>
      <c r="E69" s="84"/>
      <c r="F69" s="113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5" t="s">
        <v>30</v>
      </c>
      <c r="B70" s="105" t="s">
        <v>32</v>
      </c>
      <c r="C70" s="105"/>
      <c r="D70" s="107" t="s">
        <v>49</v>
      </c>
      <c r="E70" s="81"/>
      <c r="F70" s="105" t="s">
        <v>32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2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4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0" t="s">
        <v>30</v>
      </c>
      <c r="B74" s="110" t="s">
        <v>32</v>
      </c>
      <c r="C74" s="110" t="s">
        <v>87</v>
      </c>
      <c r="D74" s="99" t="s">
        <v>49</v>
      </c>
      <c r="E74" s="84"/>
      <c r="F74" s="110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7"/>
      <c r="B1069" s="127"/>
      <c r="C1069" s="127"/>
      <c r="D1069" s="123"/>
      <c r="E1069" s="127"/>
      <c r="F1069" s="128"/>
      <c r="G1069" s="129"/>
      <c r="H1069" s="129"/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30"/>
      <c r="V1069" s="130"/>
      <c r="W1069" s="130"/>
    </row>
    <row r="1070" ht="12.75" customHeight="1">
      <c r="A1070" s="127"/>
      <c r="B1070" s="127"/>
      <c r="C1070" s="127"/>
      <c r="D1070" s="123"/>
      <c r="E1070" s="127"/>
      <c r="F1070" s="128"/>
      <c r="G1070" s="129"/>
      <c r="H1070" s="129"/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30"/>
      <c r="V1070" s="130"/>
      <c r="W1070" s="130"/>
    </row>
    <row r="1071" ht="12.75" customHeight="1">
      <c r="A1071" s="127"/>
      <c r="B1071" s="127"/>
      <c r="C1071" s="127"/>
      <c r="D1071" s="123"/>
      <c r="E1071" s="127"/>
      <c r="F1071" s="128"/>
      <c r="G1071" s="129"/>
      <c r="H1071" s="129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30"/>
      <c r="V1071" s="130"/>
      <c r="W1071" s="130"/>
    </row>
    <row r="1072" ht="12.75" customHeight="1">
      <c r="A1072" s="127"/>
      <c r="B1072" s="127"/>
      <c r="C1072" s="127"/>
      <c r="D1072" s="123"/>
      <c r="E1072" s="127"/>
      <c r="F1072" s="128"/>
      <c r="G1072" s="129"/>
      <c r="H1072" s="129"/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30"/>
      <c r="V1072" s="130"/>
      <c r="W1072" s="130"/>
    </row>
    <row r="1073" ht="12.75" customHeight="1">
      <c r="A1073" s="127"/>
      <c r="B1073" s="127"/>
      <c r="C1073" s="127"/>
      <c r="D1073" s="123"/>
      <c r="E1073" s="127"/>
      <c r="F1073" s="128"/>
      <c r="G1073" s="129"/>
      <c r="H1073" s="129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30"/>
      <c r="V1073" s="130"/>
      <c r="W1073" s="130"/>
    </row>
    <row r="1074" ht="12.75" customHeight="1">
      <c r="A1074" s="127"/>
      <c r="B1074" s="127"/>
      <c r="C1074" s="127"/>
      <c r="D1074" s="123"/>
      <c r="E1074" s="127"/>
      <c r="F1074" s="128"/>
      <c r="G1074" s="129"/>
      <c r="H1074" s="129"/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30"/>
      <c r="V1074" s="130"/>
      <c r="W1074" s="130"/>
    </row>
    <row r="1075" ht="12.75" customHeight="1">
      <c r="A1075" s="127"/>
      <c r="B1075" s="127"/>
      <c r="C1075" s="127"/>
      <c r="D1075" s="123"/>
      <c r="E1075" s="127"/>
      <c r="F1075" s="128"/>
      <c r="G1075" s="129"/>
      <c r="H1075" s="129"/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30"/>
      <c r="V1075" s="130"/>
      <c r="W1075" s="130"/>
    </row>
    <row r="1076" ht="12.75" customHeight="1">
      <c r="A1076" s="127"/>
      <c r="B1076" s="127"/>
      <c r="C1076" s="127"/>
      <c r="D1076" s="123"/>
      <c r="E1076" s="127"/>
      <c r="F1076" s="128"/>
      <c r="G1076" s="129"/>
      <c r="H1076" s="129"/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30"/>
      <c r="V1076" s="130"/>
      <c r="W1076" s="130"/>
    </row>
    <row r="1077" ht="12.75" customHeight="1">
      <c r="A1077" s="127"/>
      <c r="B1077" s="127"/>
      <c r="C1077" s="127"/>
      <c r="D1077" s="123"/>
      <c r="E1077" s="127"/>
      <c r="F1077" s="128"/>
      <c r="G1077" s="129"/>
      <c r="H1077" s="129"/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30"/>
      <c r="V1077" s="130"/>
      <c r="W1077" s="130"/>
    </row>
    <row r="1078" ht="12.75" customHeight="1">
      <c r="A1078" s="127"/>
      <c r="B1078" s="127"/>
      <c r="C1078" s="127"/>
      <c r="D1078" s="123"/>
      <c r="E1078" s="127"/>
      <c r="F1078" s="128"/>
      <c r="G1078" s="129"/>
      <c r="H1078" s="129"/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30"/>
      <c r="V1078" s="130"/>
      <c r="W1078" s="130"/>
    </row>
    <row r="1079" ht="12.75" customHeight="1">
      <c r="A1079" s="127"/>
      <c r="B1079" s="127"/>
      <c r="C1079" s="127"/>
      <c r="D1079" s="123"/>
      <c r="E1079" s="127"/>
      <c r="F1079" s="128"/>
      <c r="G1079" s="129"/>
      <c r="H1079" s="129"/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30"/>
      <c r="V1079" s="130"/>
      <c r="W1079" s="130"/>
    </row>
    <row r="1080" ht="12.75" customHeight="1">
      <c r="A1080" s="127"/>
      <c r="B1080" s="127"/>
      <c r="C1080" s="127"/>
      <c r="D1080" s="123"/>
      <c r="E1080" s="127"/>
      <c r="F1080" s="128"/>
      <c r="G1080" s="129"/>
      <c r="H1080" s="129"/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30"/>
      <c r="V1080" s="130"/>
      <c r="W1080" s="130"/>
    </row>
    <row r="1081" ht="12.75" customHeight="1">
      <c r="A1081" s="127"/>
      <c r="B1081" s="127"/>
      <c r="C1081" s="127"/>
      <c r="D1081" s="123"/>
      <c r="E1081" s="127"/>
      <c r="F1081" s="128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30"/>
      <c r="V1081" s="130"/>
      <c r="W1081" s="130"/>
    </row>
    <row r="1082" ht="12.75" customHeight="1">
      <c r="A1082" s="127"/>
      <c r="B1082" s="127"/>
      <c r="C1082" s="127"/>
      <c r="D1082" s="123"/>
      <c r="E1082" s="127"/>
      <c r="F1082" s="128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30"/>
      <c r="V1082" s="130"/>
      <c r="W1082" s="130"/>
    </row>
    <row r="1083" ht="12.75" customHeight="1">
      <c r="A1083" s="127"/>
      <c r="B1083" s="127"/>
      <c r="C1083" s="127"/>
      <c r="D1083" s="123"/>
      <c r="E1083" s="127"/>
      <c r="F1083" s="128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30"/>
      <c r="V1083" s="130"/>
      <c r="W1083" s="130"/>
    </row>
    <row r="1084" ht="12.75" customHeight="1">
      <c r="A1084" s="127"/>
      <c r="B1084" s="127"/>
      <c r="C1084" s="127"/>
      <c r="D1084" s="123"/>
      <c r="E1084" s="127"/>
      <c r="F1084" s="128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30"/>
      <c r="V1084" s="130"/>
      <c r="W1084" s="130"/>
    </row>
    <row r="1085" ht="12.75" customHeight="1">
      <c r="A1085" s="127"/>
      <c r="B1085" s="127"/>
      <c r="C1085" s="127"/>
      <c r="D1085" s="123"/>
      <c r="E1085" s="127"/>
      <c r="F1085" s="128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30"/>
      <c r="V1085" s="130"/>
      <c r="W1085" s="130"/>
    </row>
    <row r="1086" ht="12.75" customHeight="1">
      <c r="A1086" s="127"/>
      <c r="B1086" s="127"/>
      <c r="C1086" s="127"/>
      <c r="D1086" s="123"/>
      <c r="E1086" s="127"/>
      <c r="F1086" s="128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30"/>
      <c r="V1086" s="130"/>
      <c r="W1086" s="130"/>
    </row>
    <row r="1087" ht="12.75" customHeight="1">
      <c r="A1087" s="127"/>
      <c r="B1087" s="127"/>
      <c r="C1087" s="127"/>
      <c r="D1087" s="123"/>
      <c r="E1087" s="127"/>
      <c r="F1087" s="128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30"/>
      <c r="V1087" s="130"/>
      <c r="W1087" s="130"/>
    </row>
    <row r="1088" ht="12.75" customHeight="1">
      <c r="A1088" s="127"/>
      <c r="B1088" s="127"/>
      <c r="C1088" s="127"/>
      <c r="D1088" s="123"/>
      <c r="E1088" s="127"/>
      <c r="F1088" s="128"/>
      <c r="G1088" s="129"/>
      <c r="H1088" s="129"/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30"/>
      <c r="V1088" s="130"/>
      <c r="W1088" s="130"/>
    </row>
    <row r="1089" ht="12.75" customHeight="1">
      <c r="A1089" s="127"/>
      <c r="B1089" s="127"/>
      <c r="C1089" s="127"/>
      <c r="D1089" s="123"/>
      <c r="E1089" s="127"/>
      <c r="F1089" s="128"/>
      <c r="G1089" s="129"/>
      <c r="H1089" s="129"/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30"/>
      <c r="V1089" s="130"/>
      <c r="W1089" s="130"/>
    </row>
    <row r="1090" ht="12.75" customHeight="1">
      <c r="A1090" s="127"/>
      <c r="B1090" s="127"/>
      <c r="C1090" s="127"/>
      <c r="D1090" s="123"/>
      <c r="E1090" s="127"/>
      <c r="F1090" s="128"/>
      <c r="G1090" s="129"/>
      <c r="H1090" s="129"/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30"/>
      <c r="V1090" s="130"/>
      <c r="W1090" s="130"/>
    </row>
    <row r="1091" ht="12.75" customHeight="1">
      <c r="A1091" s="127"/>
      <c r="B1091" s="127"/>
      <c r="C1091" s="127"/>
      <c r="D1091" s="123"/>
      <c r="E1091" s="127"/>
      <c r="F1091" s="128"/>
      <c r="G1091" s="129"/>
      <c r="H1091" s="129"/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30"/>
      <c r="V1091" s="130"/>
      <c r="W1091" s="130"/>
    </row>
    <row r="1092" ht="12.75" customHeight="1">
      <c r="A1092" s="127"/>
      <c r="B1092" s="127"/>
      <c r="C1092" s="127"/>
      <c r="D1092" s="123"/>
      <c r="E1092" s="127"/>
      <c r="F1092" s="128"/>
      <c r="G1092" s="129"/>
      <c r="H1092" s="129"/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30"/>
      <c r="V1092" s="130"/>
      <c r="W1092" s="130"/>
    </row>
    <row r="1093" ht="12.75" customHeight="1">
      <c r="A1093" s="127"/>
      <c r="B1093" s="127"/>
      <c r="C1093" s="127"/>
      <c r="D1093" s="123"/>
      <c r="E1093" s="127"/>
      <c r="F1093" s="128"/>
      <c r="G1093" s="129"/>
      <c r="H1093" s="129"/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30"/>
      <c r="V1093" s="130"/>
      <c r="W1093" s="130"/>
    </row>
    <row r="1094" ht="12.75" customHeight="1">
      <c r="A1094" s="127"/>
      <c r="B1094" s="127"/>
      <c r="C1094" s="127"/>
      <c r="D1094" s="123"/>
      <c r="E1094" s="127"/>
      <c r="F1094" s="128"/>
      <c r="G1094" s="129"/>
      <c r="H1094" s="129"/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30"/>
      <c r="V1094" s="130"/>
      <c r="W1094" s="130"/>
    </row>
    <row r="1095" ht="12.75" customHeight="1">
      <c r="A1095" s="127"/>
      <c r="B1095" s="127"/>
      <c r="C1095" s="127"/>
      <c r="D1095" s="123"/>
      <c r="E1095" s="127"/>
      <c r="F1095" s="128"/>
      <c r="G1095" s="129"/>
      <c r="H1095" s="129"/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30"/>
      <c r="V1095" s="130"/>
      <c r="W1095" s="130"/>
    </row>
    <row r="1096" ht="12.75" customHeight="1">
      <c r="A1096" s="127"/>
      <c r="B1096" s="127"/>
      <c r="C1096" s="127"/>
      <c r="D1096" s="123"/>
      <c r="E1096" s="127"/>
      <c r="F1096" s="128"/>
      <c r="G1096" s="129"/>
      <c r="H1096" s="129"/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30"/>
      <c r="V1096" s="130"/>
      <c r="W1096" s="130"/>
    </row>
    <row r="1097" ht="12.75" customHeight="1">
      <c r="A1097" s="127"/>
      <c r="B1097" s="127"/>
      <c r="C1097" s="127"/>
      <c r="D1097" s="123"/>
      <c r="E1097" s="127"/>
      <c r="F1097" s="128"/>
      <c r="G1097" s="129"/>
      <c r="H1097" s="129"/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30"/>
      <c r="V1097" s="130"/>
      <c r="W1097" s="130"/>
    </row>
    <row r="1098" ht="12.75" customHeight="1">
      <c r="A1098" s="127"/>
      <c r="B1098" s="127"/>
      <c r="C1098" s="127"/>
      <c r="D1098" s="123"/>
      <c r="E1098" s="127"/>
      <c r="F1098" s="128"/>
      <c r="G1098" s="129"/>
      <c r="H1098" s="129"/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30"/>
      <c r="V1098" s="130"/>
      <c r="W1098" s="130"/>
    </row>
    <row r="1099" ht="12.75" customHeight="1">
      <c r="A1099" s="127"/>
      <c r="B1099" s="127"/>
      <c r="C1099" s="127"/>
      <c r="D1099" s="123"/>
      <c r="E1099" s="127"/>
      <c r="F1099" s="128"/>
      <c r="G1099" s="129"/>
      <c r="H1099" s="129"/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30"/>
      <c r="V1099" s="130"/>
      <c r="W1099" s="130"/>
    </row>
    <row r="1100" ht="12.75" customHeight="1">
      <c r="A1100" s="127"/>
      <c r="B1100" s="127"/>
      <c r="C1100" s="127"/>
      <c r="D1100" s="123"/>
      <c r="E1100" s="127"/>
      <c r="F1100" s="128"/>
      <c r="G1100" s="129"/>
      <c r="H1100" s="129"/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30"/>
      <c r="V1100" s="130"/>
      <c r="W1100" s="130"/>
    </row>
    <row r="1101" ht="12.75" customHeight="1">
      <c r="A1101" s="127"/>
      <c r="B1101" s="127"/>
      <c r="C1101" s="127"/>
      <c r="D1101" s="123"/>
      <c r="E1101" s="127"/>
      <c r="F1101" s="128"/>
      <c r="G1101" s="129"/>
      <c r="H1101" s="129"/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30"/>
      <c r="V1101" s="130"/>
      <c r="W1101" s="130"/>
    </row>
    <row r="1102" ht="12.75" customHeight="1">
      <c r="A1102" s="127"/>
      <c r="B1102" s="127"/>
      <c r="C1102" s="127"/>
      <c r="D1102" s="123"/>
      <c r="E1102" s="127"/>
      <c r="F1102" s="128"/>
      <c r="G1102" s="129"/>
      <c r="H1102" s="129"/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30"/>
      <c r="V1102" s="130"/>
      <c r="W1102" s="130"/>
    </row>
    <row r="1103" ht="12.75" customHeight="1">
      <c r="A1103" s="127"/>
      <c r="B1103" s="127"/>
      <c r="C1103" s="127"/>
      <c r="D1103" s="123"/>
      <c r="E1103" s="127"/>
      <c r="F1103" s="128"/>
      <c r="G1103" s="129"/>
      <c r="H1103" s="129"/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30"/>
      <c r="V1103" s="130"/>
      <c r="W1103" s="130"/>
    </row>
    <row r="1104" ht="12.75" customHeight="1">
      <c r="A1104" s="127"/>
      <c r="B1104" s="127"/>
      <c r="C1104" s="127"/>
      <c r="D1104" s="123"/>
      <c r="E1104" s="127"/>
      <c r="F1104" s="128"/>
      <c r="G1104" s="129"/>
      <c r="H1104" s="129"/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30"/>
      <c r="V1104" s="130"/>
      <c r="W1104" s="130"/>
    </row>
    <row r="1105" ht="12.75" customHeight="1">
      <c r="A1105" s="127"/>
      <c r="B1105" s="127"/>
      <c r="C1105" s="127"/>
      <c r="D1105" s="123"/>
      <c r="E1105" s="127"/>
      <c r="F1105" s="128"/>
      <c r="G1105" s="129"/>
      <c r="H1105" s="129"/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30"/>
      <c r="V1105" s="130"/>
      <c r="W1105" s="130"/>
    </row>
    <row r="1106" ht="12.75" customHeight="1">
      <c r="A1106" s="127"/>
      <c r="B1106" s="127"/>
      <c r="C1106" s="127"/>
      <c r="D1106" s="123"/>
      <c r="E1106" s="127"/>
      <c r="F1106" s="128"/>
      <c r="G1106" s="129"/>
      <c r="H1106" s="129"/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30"/>
      <c r="V1106" s="130"/>
      <c r="W1106" s="130"/>
    </row>
    <row r="1107" ht="12.75" customHeight="1">
      <c r="A1107" s="127"/>
      <c r="B1107" s="127"/>
      <c r="C1107" s="127"/>
      <c r="D1107" s="123"/>
      <c r="E1107" s="127"/>
      <c r="F1107" s="128"/>
      <c r="G1107" s="129"/>
      <c r="H1107" s="129"/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30"/>
      <c r="V1107" s="130"/>
      <c r="W1107" s="130"/>
    </row>
    <row r="1108" ht="12.75" customHeight="1">
      <c r="A1108" s="127"/>
      <c r="B1108" s="127"/>
      <c r="C1108" s="127"/>
      <c r="D1108" s="123"/>
      <c r="E1108" s="127"/>
      <c r="F1108" s="128"/>
      <c r="G1108" s="129"/>
      <c r="H1108" s="129"/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30"/>
      <c r="V1108" s="130"/>
      <c r="W1108" s="130"/>
    </row>
    <row r="1109" ht="12.75" customHeight="1">
      <c r="A1109" s="127"/>
      <c r="B1109" s="127"/>
      <c r="C1109" s="127"/>
      <c r="D1109" s="123"/>
      <c r="E1109" s="127"/>
      <c r="F1109" s="128"/>
      <c r="G1109" s="129"/>
      <c r="H1109" s="129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30"/>
      <c r="V1109" s="130"/>
      <c r="W1109" s="130"/>
    </row>
    <row r="1110" ht="12.75" customHeight="1">
      <c r="A1110" s="127"/>
      <c r="B1110" s="127"/>
      <c r="C1110" s="127"/>
      <c r="D1110" s="123"/>
      <c r="E1110" s="127"/>
      <c r="F1110" s="128"/>
      <c r="G1110" s="129"/>
      <c r="H1110" s="129"/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30"/>
      <c r="V1110" s="130"/>
      <c r="W1110" s="130"/>
    </row>
    <row r="1111" ht="12.75" customHeight="1">
      <c r="A1111" s="127"/>
      <c r="B1111" s="127"/>
      <c r="C1111" s="127"/>
      <c r="D1111" s="123"/>
      <c r="E1111" s="127"/>
      <c r="F1111" s="128"/>
      <c r="G1111" s="129"/>
      <c r="H1111" s="129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30"/>
      <c r="V1111" s="130"/>
      <c r="W1111" s="130"/>
    </row>
    <row r="1112" ht="12.75" customHeight="1">
      <c r="A1112" s="127"/>
      <c r="B1112" s="127"/>
      <c r="C1112" s="127"/>
      <c r="D1112" s="123"/>
      <c r="E1112" s="127"/>
      <c r="F1112" s="128"/>
      <c r="G1112" s="129"/>
      <c r="H1112" s="129"/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30"/>
      <c r="V1112" s="130"/>
      <c r="W1112" s="130"/>
    </row>
    <row r="1113" ht="12.75" customHeight="1">
      <c r="A1113" s="127"/>
      <c r="B1113" s="127"/>
      <c r="C1113" s="127"/>
      <c r="D1113" s="123"/>
      <c r="E1113" s="127"/>
      <c r="F1113" s="128"/>
      <c r="G1113" s="129"/>
      <c r="H1113" s="129"/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30"/>
      <c r="V1113" s="130"/>
      <c r="W1113" s="130"/>
    </row>
    <row r="1114" ht="12.75" customHeight="1">
      <c r="A1114" s="127"/>
      <c r="B1114" s="127"/>
      <c r="C1114" s="127"/>
      <c r="D1114" s="123"/>
      <c r="E1114" s="127"/>
      <c r="F1114" s="128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30"/>
      <c r="V1114" s="130"/>
      <c r="W1114" s="130"/>
    </row>
    <row r="1115" ht="12.75" customHeight="1">
      <c r="A1115" s="127"/>
      <c r="B1115" s="127"/>
      <c r="C1115" s="127"/>
      <c r="D1115" s="123"/>
      <c r="E1115" s="127"/>
      <c r="F1115" s="128"/>
      <c r="G1115" s="129"/>
      <c r="H1115" s="129"/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30"/>
      <c r="V1115" s="130"/>
      <c r="W1115" s="130"/>
    </row>
    <row r="1116" ht="12.75" customHeight="1">
      <c r="A1116" s="127"/>
      <c r="B1116" s="127"/>
      <c r="C1116" s="127"/>
      <c r="D1116" s="123"/>
      <c r="E1116" s="127"/>
      <c r="F1116" s="128"/>
      <c r="G1116" s="129"/>
      <c r="H1116" s="129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30"/>
      <c r="V1116" s="130"/>
      <c r="W1116" s="130"/>
    </row>
    <row r="1117" ht="12.75" customHeight="1">
      <c r="A1117" s="127"/>
      <c r="B1117" s="127"/>
      <c r="C1117" s="127"/>
      <c r="D1117" s="123"/>
      <c r="E1117" s="127"/>
      <c r="F1117" s="128"/>
      <c r="G1117" s="129"/>
      <c r="H1117" s="129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30"/>
      <c r="V1117" s="130"/>
      <c r="W1117" s="130"/>
    </row>
    <row r="1118" ht="12.75" customHeight="1">
      <c r="A1118" s="127"/>
      <c r="B1118" s="127"/>
      <c r="C1118" s="127"/>
      <c r="D1118" s="123"/>
      <c r="E1118" s="127"/>
      <c r="F1118" s="128"/>
      <c r="G1118" s="129"/>
      <c r="H1118" s="129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30"/>
      <c r="V1118" s="130"/>
      <c r="W1118" s="130"/>
    </row>
    <row r="1119" ht="12.75" customHeight="1">
      <c r="A1119" s="127"/>
      <c r="B1119" s="127"/>
      <c r="C1119" s="127"/>
      <c r="D1119" s="123"/>
      <c r="E1119" s="127"/>
      <c r="F1119" s="128"/>
      <c r="G1119" s="129"/>
      <c r="H1119" s="129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30"/>
      <c r="V1119" s="130"/>
      <c r="W1119" s="130"/>
    </row>
    <row r="1120" ht="12.75" customHeight="1">
      <c r="A1120" s="127"/>
      <c r="B1120" s="127"/>
      <c r="C1120" s="127"/>
      <c r="D1120" s="123"/>
      <c r="E1120" s="127"/>
      <c r="F1120" s="128"/>
      <c r="G1120" s="129"/>
      <c r="H1120" s="129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30"/>
      <c r="V1120" s="130"/>
      <c r="W1120" s="130"/>
    </row>
    <row r="1121" ht="12.75" customHeight="1">
      <c r="A1121" s="127"/>
      <c r="B1121" s="127"/>
      <c r="C1121" s="127"/>
      <c r="D1121" s="123"/>
      <c r="E1121" s="127"/>
      <c r="F1121" s="128"/>
      <c r="G1121" s="129"/>
      <c r="H1121" s="129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30"/>
      <c r="V1121" s="130"/>
      <c r="W1121" s="130"/>
    </row>
    <row r="1122" ht="12.75" customHeight="1">
      <c r="A1122" s="127"/>
      <c r="B1122" s="127"/>
      <c r="C1122" s="127"/>
      <c r="D1122" s="123"/>
      <c r="E1122" s="127"/>
      <c r="F1122" s="128"/>
      <c r="G1122" s="129"/>
      <c r="H1122" s="129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30"/>
      <c r="V1122" s="130"/>
      <c r="W1122" s="130"/>
    </row>
    <row r="1123" ht="12.75" customHeight="1">
      <c r="A1123" s="127"/>
      <c r="B1123" s="127"/>
      <c r="C1123" s="127"/>
      <c r="D1123" s="123"/>
      <c r="E1123" s="127"/>
      <c r="F1123" s="128"/>
      <c r="G1123" s="129"/>
      <c r="H1123" s="129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30"/>
      <c r="V1123" s="130"/>
      <c r="W1123" s="130"/>
    </row>
    <row r="1124" ht="12.75" customHeight="1">
      <c r="A1124" s="127"/>
      <c r="B1124" s="127"/>
      <c r="C1124" s="127"/>
      <c r="D1124" s="123"/>
      <c r="E1124" s="127"/>
      <c r="F1124" s="128"/>
      <c r="G1124" s="129"/>
      <c r="H1124" s="129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30"/>
      <c r="V1124" s="130"/>
      <c r="W1124" s="130"/>
    </row>
    <row r="1125" ht="12.75" customHeight="1">
      <c r="A1125" s="127"/>
      <c r="B1125" s="127"/>
      <c r="C1125" s="127"/>
      <c r="D1125" s="123"/>
      <c r="E1125" s="127"/>
      <c r="F1125" s="128"/>
      <c r="G1125" s="129"/>
      <c r="H1125" s="129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30"/>
      <c r="V1125" s="130"/>
      <c r="W1125" s="130"/>
    </row>
    <row r="1126" ht="12.75" customHeight="1">
      <c r="A1126" s="127"/>
      <c r="B1126" s="127"/>
      <c r="C1126" s="127"/>
      <c r="D1126" s="123"/>
      <c r="E1126" s="127"/>
      <c r="F1126" s="128"/>
      <c r="G1126" s="129"/>
      <c r="H1126" s="129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30"/>
      <c r="V1126" s="130"/>
      <c r="W1126" s="130"/>
    </row>
    <row r="1127" ht="12.75" customHeight="1">
      <c r="A1127" s="127"/>
      <c r="B1127" s="127"/>
      <c r="C1127" s="127"/>
      <c r="D1127" s="123"/>
      <c r="E1127" s="127"/>
      <c r="F1127" s="128"/>
      <c r="G1127" s="129"/>
      <c r="H1127" s="129"/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30"/>
      <c r="V1127" s="130"/>
      <c r="W1127" s="130"/>
    </row>
    <row r="1128" ht="12.75" customHeight="1">
      <c r="A1128" s="127"/>
      <c r="B1128" s="127"/>
      <c r="C1128" s="127"/>
      <c r="D1128" s="123"/>
      <c r="E1128" s="127"/>
      <c r="F1128" s="128"/>
      <c r="G1128" s="129"/>
      <c r="H1128" s="129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30"/>
      <c r="V1128" s="130"/>
      <c r="W1128" s="130"/>
    </row>
    <row r="1129" ht="12.75" customHeight="1">
      <c r="A1129" s="127"/>
      <c r="B1129" s="127"/>
      <c r="C1129" s="127"/>
      <c r="D1129" s="123"/>
      <c r="E1129" s="127"/>
      <c r="F1129" s="128"/>
      <c r="G1129" s="129"/>
      <c r="H1129" s="129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30"/>
      <c r="V1129" s="130"/>
      <c r="W1129" s="130"/>
    </row>
    <row r="1130" ht="12.75" customHeight="1">
      <c r="A1130" s="127"/>
      <c r="B1130" s="127"/>
      <c r="C1130" s="127"/>
      <c r="D1130" s="123"/>
      <c r="E1130" s="127"/>
      <c r="F1130" s="128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30"/>
      <c r="V1130" s="130"/>
      <c r="W1130" s="130"/>
    </row>
    <row r="1131" ht="12.75" customHeight="1">
      <c r="A1131" s="127"/>
      <c r="B1131" s="127"/>
      <c r="C1131" s="127"/>
      <c r="D1131" s="123"/>
      <c r="E1131" s="127"/>
      <c r="F1131" s="128"/>
      <c r="G1131" s="129"/>
      <c r="H1131" s="129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30"/>
      <c r="V1131" s="130"/>
      <c r="W1131" s="130"/>
    </row>
    <row r="1132" ht="12.75" customHeight="1">
      <c r="A1132" s="127"/>
      <c r="B1132" s="127"/>
      <c r="C1132" s="127"/>
      <c r="D1132" s="123"/>
      <c r="E1132" s="127"/>
      <c r="F1132" s="128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30"/>
      <c r="V1132" s="130"/>
      <c r="W1132" s="130"/>
    </row>
    <row r="1133" ht="12.75" customHeight="1">
      <c r="A1133" s="127"/>
      <c r="B1133" s="127"/>
      <c r="C1133" s="127"/>
      <c r="D1133" s="123"/>
      <c r="E1133" s="127"/>
      <c r="F1133" s="128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30"/>
      <c r="V1133" s="130"/>
      <c r="W1133" s="130"/>
    </row>
    <row r="1134" ht="12.75" customHeight="1">
      <c r="A1134" s="127"/>
      <c r="B1134" s="127"/>
      <c r="C1134" s="127"/>
      <c r="D1134" s="123"/>
      <c r="E1134" s="127"/>
      <c r="F1134" s="128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30"/>
      <c r="V1134" s="130"/>
      <c r="W1134" s="130"/>
    </row>
    <row r="1135" ht="12.75" customHeight="1">
      <c r="A1135" s="127"/>
      <c r="B1135" s="127"/>
      <c r="C1135" s="127"/>
      <c r="D1135" s="123"/>
      <c r="E1135" s="127"/>
      <c r="F1135" s="128"/>
      <c r="G1135" s="129"/>
      <c r="H1135" s="129"/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30"/>
      <c r="V1135" s="130"/>
      <c r="W1135" s="130"/>
    </row>
    <row r="1136" ht="12.75" customHeight="1">
      <c r="A1136" s="127"/>
      <c r="B1136" s="127"/>
      <c r="C1136" s="127"/>
      <c r="D1136" s="123"/>
      <c r="E1136" s="127"/>
      <c r="F1136" s="128"/>
      <c r="G1136" s="129"/>
      <c r="H1136" s="129"/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30"/>
      <c r="V1136" s="130"/>
      <c r="W1136" s="130"/>
    </row>
    <row r="1137" ht="12.75" customHeight="1">
      <c r="A1137" s="127"/>
      <c r="B1137" s="127"/>
      <c r="C1137" s="127"/>
      <c r="D1137" s="123"/>
      <c r="E1137" s="127"/>
      <c r="F1137" s="128"/>
      <c r="G1137" s="129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33" t="s">
        <v>88</v>
      </c>
      <c r="B1" s="133" t="s">
        <v>89</v>
      </c>
      <c r="C1" s="133" t="s">
        <v>33</v>
      </c>
      <c r="D1" s="133" t="s">
        <v>90</v>
      </c>
      <c r="E1" s="133" t="s">
        <v>0</v>
      </c>
      <c r="F1" s="133" t="s">
        <v>91</v>
      </c>
      <c r="G1" s="133" t="s">
        <v>92</v>
      </c>
      <c r="H1" s="133" t="s">
        <v>93</v>
      </c>
      <c r="I1" s="133" t="s">
        <v>94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95</v>
      </c>
      <c r="B2" s="135" t="s">
        <v>96</v>
      </c>
      <c r="C2" s="135" t="s">
        <v>97</v>
      </c>
      <c r="D2" s="136">
        <v>46101.0</v>
      </c>
      <c r="E2" s="135">
        <v>1635.96</v>
      </c>
      <c r="F2" s="135" t="s">
        <v>98</v>
      </c>
      <c r="G2" s="135" t="s">
        <v>99</v>
      </c>
      <c r="H2" s="135" t="s">
        <v>100</v>
      </c>
      <c r="I2" s="135" t="s">
        <v>101</v>
      </c>
    </row>
    <row r="3">
      <c r="A3" s="135" t="s">
        <v>102</v>
      </c>
      <c r="B3" s="135" t="s">
        <v>103</v>
      </c>
      <c r="C3" s="135" t="s">
        <v>97</v>
      </c>
      <c r="D3" s="136">
        <v>46103.0</v>
      </c>
      <c r="E3" s="135">
        <v>1315.32</v>
      </c>
      <c r="F3" s="135" t="s">
        <v>98</v>
      </c>
      <c r="G3" s="135" t="s">
        <v>99</v>
      </c>
      <c r="H3" s="135" t="s">
        <v>104</v>
      </c>
      <c r="I3" s="135" t="s">
        <v>101</v>
      </c>
    </row>
    <row r="4">
      <c r="A4" s="135" t="s">
        <v>105</v>
      </c>
      <c r="B4" s="135" t="s">
        <v>106</v>
      </c>
      <c r="C4" s="135" t="s">
        <v>97</v>
      </c>
      <c r="D4" s="136">
        <v>46105.0</v>
      </c>
      <c r="E4" s="135">
        <v>562.92</v>
      </c>
      <c r="F4" s="135" t="s">
        <v>98</v>
      </c>
      <c r="G4" s="135" t="s">
        <v>99</v>
      </c>
      <c r="H4" s="135" t="s">
        <v>107</v>
      </c>
      <c r="I4" s="135" t="s">
        <v>101</v>
      </c>
    </row>
    <row r="5">
      <c r="A5" s="135" t="s">
        <v>108</v>
      </c>
      <c r="B5" s="135" t="s">
        <v>103</v>
      </c>
      <c r="C5" s="135" t="s">
        <v>97</v>
      </c>
      <c r="D5" s="136">
        <v>46104.0</v>
      </c>
      <c r="E5" s="135">
        <v>897.72</v>
      </c>
      <c r="F5" s="135" t="s">
        <v>98</v>
      </c>
      <c r="G5" s="135" t="s">
        <v>99</v>
      </c>
      <c r="H5" s="135" t="s">
        <v>109</v>
      </c>
      <c r="I5" s="135" t="s">
        <v>101</v>
      </c>
    </row>
    <row r="6">
      <c r="A6" s="135" t="s">
        <v>110</v>
      </c>
      <c r="B6" s="135" t="s">
        <v>111</v>
      </c>
      <c r="C6" s="135" t="s">
        <v>112</v>
      </c>
      <c r="D6" s="136">
        <v>46105.0</v>
      </c>
      <c r="E6" s="135">
        <v>672.0</v>
      </c>
      <c r="F6" s="135" t="s">
        <v>98</v>
      </c>
      <c r="G6" s="135" t="s">
        <v>99</v>
      </c>
      <c r="H6" s="135" t="s">
        <v>113</v>
      </c>
      <c r="I6" s="135" t="s">
        <v>101</v>
      </c>
    </row>
  </sheetData>
  <drawing r:id="rId1"/>
</worksheet>
</file>