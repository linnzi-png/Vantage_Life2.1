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<sst xmlns="http://schemas.openxmlformats.org/spreadsheetml/2006/main" count="1993" uniqueCount="92">
  <si>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</si>
  <si>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</si>
  <si>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</si>
  <si>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</si>
  <si>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</si>
  <si>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</si>
  <si>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</si>
  <si>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</si>
  <si>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</si>
  <si>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</si>
  <si>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</si>
  <si>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</si>
  <si>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</si>
  <si>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</si>
  <si>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</si>
  <si>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</si>
  <si>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</si>
  <si>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</si>
  <si>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</si>
  <si>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</si>
  <si>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</si>
  <si>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</si>
  <si>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</si>
  <si>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</si>
  <si>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</si>
  <si>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</si>
  <si>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</si>
  <si>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</si>
  <si>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</si>
  <si>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</si>
  <si>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</si>
  <si>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</si>
  <si>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</si>
  <si>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</si>
  <si>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</si>
  <si>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</si>
  <si>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</si>
  <si>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</si>
  <si>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</si>
  <si>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</si>
  <si>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</si>
  <si>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</si>
  <si>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</si>
  <si>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</si>
  <si>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</si>
  <si>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</si>
  <si>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</si>
  <si>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</si>
  <si>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OH</t>
  </si>
  <si>
    <t>Connor Cook</t>
  </si>
  <si>
    <t>Aleskander Murshed</t>
  </si>
  <si>
    <t>CA</t>
  </si>
  <si>
    <t>Cameron Porter</t>
  </si>
  <si>
    <t>Henry Long</t>
  </si>
  <si>
    <t>Awni Shuaib</t>
  </si>
  <si>
    <t>Hannah Sanders</t>
  </si>
  <si>
    <t>Ali Eltanoukhi</t>
  </si>
  <si>
    <t>Sajad Aljanaby</t>
  </si>
  <si>
    <t>FL</t>
  </si>
  <si>
    <t>Christine Demaras</t>
  </si>
  <si>
    <t>Maher Altairi</t>
  </si>
  <si>
    <t>Basel Musaed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</si>
  <si>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</si>
  <si>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</si>
  <si>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</si>
  <si>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</si>
  <si>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</si>
  <si>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</si>
  <si>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Waleed Othman</t>
  </si>
  <si>
    <t>Angel Ruiz</t>
  </si>
  <si>
    <t>Ashley Beraty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</si>
  <si>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</si>
  <si>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</si>
  <si>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</si>
  <si>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</si>
  <si>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</si>
  <si>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</si>
  <si>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</si>
  <si>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</si>
  <si>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</si>
  <si>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</si>
  <si>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DORETHEA NEALS</t>
  </si>
  <si>
    <t>AWNI SHUAIB</t>
  </si>
  <si>
    <t>ALJAHMI</t>
  </si>
  <si>
    <t>N/A</t>
  </si>
  <si>
    <t>YES</t>
  </si>
  <si>
    <t>REWRITING PER AGENT</t>
  </si>
  <si>
    <t>AIMSBACK, LYLE</t>
  </si>
  <si>
    <t>SHIKO QARADAGHI</t>
  </si>
  <si>
    <t>NO</t>
  </si>
  <si>
    <t>CLIENT DOESN'T WANT; CONFIRMED WITH AGENT TO CANCEL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</si>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</sst>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1" fillId="0" fontId="12" numFmtId="0" xfId="0" applyAlignment="1" applyBorder="1" applyFont="1">
      <alignment readingOrder="0" shrinkToFit="0" vertical="center" wrapText="1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1" fillId="4" fontId="12" numFmtId="0" xfId="0" applyAlignment="1" applyBorder="1" applyFont="1">
      <alignment readingOrder="0" shrinkToFit="0" vertical="center" wrapText="1"/>
    </xf>
    <xf borderId="3" fillId="4" fontId="12" numFmtId="0" xfId="0" applyAlignment="1" applyBorder="1" applyFont="1">
      <alignment readingOrder="0" vertical="center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1" fillId="5" fontId="1" numFmtId="3" xfId="0" applyAlignment="1" applyBorder="1" applyFont="1" applyNumberFormat="1">
      <alignment horizontal="right" vertical="center"/>
    </xf>
    <xf borderId="1" fillId="5" fontId="1" numFmtId="3" xfId="0" applyAlignment="1" applyBorder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13204</v>
      </c>
      <c r="D2" s="9"/>
      <c r="E2" s="8">
        <f t="shared" ref="E2:R2" si="1">SUM(E5)</f>
        <v>3115</v>
      </c>
      <c r="F2" s="8">
        <f t="shared" si="1"/>
        <v>38</v>
      </c>
      <c r="G2" s="10">
        <f t="shared" si="1"/>
        <v>13</v>
      </c>
      <c r="H2" s="10">
        <f t="shared" si="1"/>
        <v>6</v>
      </c>
      <c r="I2" s="10">
        <f t="shared" si="1"/>
        <v>3</v>
      </c>
      <c r="J2" s="10">
        <f t="shared" si="1"/>
        <v>2</v>
      </c>
      <c r="K2" s="10">
        <f t="shared" si="1"/>
        <v>6</v>
      </c>
      <c r="L2" s="10">
        <f t="shared" si="1"/>
        <v>0</v>
      </c>
      <c r="M2" s="10">
        <f t="shared" si="1"/>
        <v>38</v>
      </c>
      <c r="N2" s="10">
        <f t="shared" si="1"/>
        <v>4</v>
      </c>
      <c r="O2" s="10">
        <f t="shared" si="1"/>
        <v>4</v>
      </c>
      <c r="P2" s="10">
        <f t="shared" si="1"/>
        <v>9</v>
      </c>
      <c r="Q2" s="10">
        <f t="shared" si="1"/>
        <v>5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2200.666667</v>
      </c>
      <c r="F4" s="20">
        <f>IFERROR((G2+R2)/F2,0)</f>
        <v>0.3947368421</v>
      </c>
      <c r="G4" s="20">
        <f>IFERROR(H2/G2,0)</f>
        <v>0.4615384615</v>
      </c>
      <c r="H4" s="19">
        <f>(C2/C4)</f>
        <v>574.0869565</v>
      </c>
      <c r="I4" s="21"/>
      <c r="J4" s="20">
        <f>IFERROR(J2/I2,0)</f>
        <v>0.6666666667</v>
      </c>
      <c r="K4" s="21"/>
      <c r="L4" s="20">
        <f>IFERROR(L2/K2,0)</f>
        <v>0</v>
      </c>
      <c r="M4" s="22">
        <f>IFERROR(M2/G2,0)</f>
        <v>2.923076923</v>
      </c>
      <c r="N4" s="21"/>
      <c r="O4" s="20">
        <f>IFERROR(O2/N2,0)</f>
        <v>1</v>
      </c>
      <c r="P4" s="22"/>
      <c r="Q4" s="20">
        <f>IFERROR(Q2/P2,0)</f>
        <v>0.5555555556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13204</v>
      </c>
      <c r="D5" s="26"/>
      <c r="E5" s="27">
        <f>SUMIFS(T:T,A:A,B5,D:D,"Y")</f>
        <v>3115</v>
      </c>
      <c r="F5" s="8">
        <f>SUMIF(A:A,B5,G:G)</f>
        <v>38</v>
      </c>
      <c r="G5" s="10">
        <f>SUMIF(A:A,B5,H:H)</f>
        <v>13</v>
      </c>
      <c r="H5" s="10">
        <f>SUMIF(A:A,B5,I:I)</f>
        <v>6</v>
      </c>
      <c r="I5" s="10">
        <f>SUMIF(A:A,B5,P:P)</f>
        <v>3</v>
      </c>
      <c r="J5" s="10">
        <f>SUMIF(A:A,B5,Q:Q)</f>
        <v>2</v>
      </c>
      <c r="K5" s="10">
        <f>SUMIF(A:A,B5,R:R)</f>
        <v>6</v>
      </c>
      <c r="L5" s="10">
        <f>SUMIF(A:A,B5,S:S)</f>
        <v>0</v>
      </c>
      <c r="M5" s="10">
        <f>SUMIF(A:A,B5,M:M)</f>
        <v>38</v>
      </c>
      <c r="N5" s="10">
        <f>SUMIF(A:A,B5,N:N)</f>
        <v>4</v>
      </c>
      <c r="O5" s="10">
        <f>SUMIF(A:A,B5,O:O)</f>
        <v>4</v>
      </c>
      <c r="P5" s="10">
        <f>SUMIF(A:A,B5,J:J)</f>
        <v>9</v>
      </c>
      <c r="Q5" s="10">
        <f>SUMIF(A:A,B5,K:K)</f>
        <v>5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2200.666667</v>
      </c>
      <c r="F7" s="20">
        <f>IFERROR((G5+R5)/F5,0)</f>
        <v>0.3947368421</v>
      </c>
      <c r="G7" s="20">
        <f>IFERROR(H5/G5,0)</f>
        <v>0.4615384615</v>
      </c>
      <c r="H7" s="19">
        <f>(C5/C7)</f>
        <v>574.0869565</v>
      </c>
      <c r="I7" s="21"/>
      <c r="J7" s="20">
        <f>IFERROR(J5/I5,0)</f>
        <v>0.6666666667</v>
      </c>
      <c r="K7" s="21"/>
      <c r="L7" s="20">
        <f>IFERROR(L5/K5,0)</f>
        <v>0</v>
      </c>
      <c r="M7" s="22">
        <f>IFERROR(M5/SUM(R5+G5,0),"")</f>
        <v>2.533333333</v>
      </c>
      <c r="N7" s="21"/>
      <c r="O7" s="20">
        <f>IFERROR(O5/N5,0)</f>
        <v>1</v>
      </c>
      <c r="P7" s="22"/>
      <c r="Q7" s="20">
        <f>IFERROR(Q5/P5,0)</f>
        <v>0.5555555556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13204</v>
      </c>
      <c r="D8" s="36"/>
      <c r="E8" s="37">
        <f>SUMIFS(T:T,B:B,B8,D:D,"Y")</f>
        <v>3115</v>
      </c>
      <c r="F8" s="38">
        <f>SUMIF(B16:B1032,B8,G16:G1032)</f>
        <v>38</v>
      </c>
      <c r="G8" s="39">
        <f>SUMIF(B16:B1032,B8,H16:H1032)</f>
        <v>13</v>
      </c>
      <c r="H8" s="38">
        <f>SUMIF(B16:B1032,B8,I16:I1032)</f>
        <v>6</v>
      </c>
      <c r="I8" s="39">
        <f>SUMIF(B16:B1032,B8,P16:P1032)</f>
        <v>3</v>
      </c>
      <c r="J8" s="39">
        <f>SUMIF(B16:B1032,B8,Q16:Q1032)</f>
        <v>2</v>
      </c>
      <c r="K8" s="39">
        <f>SUMIF(B16:B1032,B8,R16:R1032)</f>
        <v>6</v>
      </c>
      <c r="L8" s="39">
        <f>SUMIF(B16:B1032,B8,S16:S1032)</f>
        <v>0</v>
      </c>
      <c r="M8" s="39">
        <f>SUMIF(B16:B1032,B8,M16:M1032)</f>
        <v>38</v>
      </c>
      <c r="N8" s="39">
        <f>SUMIF(B16:B1032,B8,N16:N1032)</f>
        <v>4</v>
      </c>
      <c r="O8" s="38">
        <f>SUMIF(B16:B1032,B8,O16:O1032)</f>
        <v>4</v>
      </c>
      <c r="P8" s="39">
        <f>SUMIF(B16:B1032,B8,J16:J1032)</f>
        <v>9</v>
      </c>
      <c r="Q8" s="39">
        <f>SUMIF(B16:B1032,B8,K16:K1032)</f>
        <v>5</v>
      </c>
      <c r="R8" s="38">
        <f>SUMIF(B16:B1032,B8,L16:L1032)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COUNTIFS(B16:B1032,B8)</f>
        <v>20</v>
      </c>
      <c r="D10" s="42"/>
      <c r="E10" s="50">
        <f>IFERROR(C8/H8,0)</f>
        <v>2200.666667</v>
      </c>
      <c r="F10" s="51">
        <f>IFERROR((G8+R8)/F8,0)</f>
        <v>0.3947368421</v>
      </c>
      <c r="G10" s="51">
        <f>IFERROR(H8/G8,0)</f>
        <v>0.4615384615</v>
      </c>
      <c r="H10" s="50">
        <f>(C8/C10)</f>
        <v>660.2</v>
      </c>
      <c r="I10" s="46"/>
      <c r="J10" s="51">
        <f>IFERROR(J8/I8,0)</f>
        <v>0.6666666667</v>
      </c>
      <c r="K10" s="46"/>
      <c r="L10" s="51">
        <f>IFERROR(L8/K8,0)</f>
        <v>0</v>
      </c>
      <c r="M10" s="52">
        <f>IFERROR(M8/SUM(G8+R8,0),"")</f>
        <v>2.533333333</v>
      </c>
      <c r="N10" s="46"/>
      <c r="O10" s="51">
        <f>IFERROR(O8/N8,0)</f>
        <v>1</v>
      </c>
      <c r="P10" s="53"/>
      <c r="Q10" s="51">
        <f>IFERROR(Q8/P8,0)</f>
        <v>0.5555555556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SUMIF(B40:B1032,B11,G40:G1032)</f>
        <v>0</v>
      </c>
      <c r="G11" s="39">
        <f>SUMIF(B40:B1032,B11,H40:H1032)</f>
        <v>0</v>
      </c>
      <c r="H11" s="38">
        <f>SUMIF(B40:B1032,B11,I40:I1032)</f>
        <v>0</v>
      </c>
      <c r="I11" s="39">
        <f>SUMIF(B40:B1032,B11,P40:P1032)</f>
        <v>0</v>
      </c>
      <c r="J11" s="39">
        <f>SUMIF(B40:B1032,B11,Q40:Q1032)</f>
        <v>0</v>
      </c>
      <c r="K11" s="39">
        <f>SUMIF(B40:B1032,B11,R40:R1032)</f>
        <v>0</v>
      </c>
      <c r="L11" s="39">
        <f>SUMIF(B40:B1032,B11,S40:S1032)</f>
        <v>0</v>
      </c>
      <c r="M11" s="39">
        <f>SUMIF(B40:B1032,B11,M40:M1032)</f>
        <v>0</v>
      </c>
      <c r="N11" s="39">
        <f>SUMIF(B40:B1032,B11,N40:N1032)</f>
        <v>0</v>
      </c>
      <c r="O11" s="38">
        <f>SUMIF(B40:B1032,B11,O40:O1032)</f>
        <v>0</v>
      </c>
      <c r="P11" s="39">
        <f>SUMIF(B40:B1032,B11,J40:J1032)</f>
        <v>0</v>
      </c>
      <c r="Q11" s="39">
        <f>SUMIF(B40:B1032,B11,K40:K1032)</f>
        <v>0</v>
      </c>
      <c r="R11" s="38">
        <f>SUMIF(B40:B1032,B11,L40:L1032)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COUNTIFS(B16:B1032,B11)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39" si="2">IFERROR(I17/H17,0)</f>
        <v>0</v>
      </c>
      <c r="V17" s="67">
        <f t="shared" ref="V17:V3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>
        <f>('Thurs (2)'!G24+Thurs!G24+'Tues '!G24+Wed!G24+Fri!G24+'Mon '!G24+'Wed (2)'!G24+Sun!G24+Sat!G24)</f>
        <v>5</v>
      </c>
      <c r="H24" s="66">
        <f>('Thurs (2)'!H24+Thurs!H24+'Tues '!H24+Wed!H24+Fri!H24+'Mon '!H24+'Wed (2)'!H24+Sun!H24+Sat!H24)</f>
        <v>2</v>
      </c>
      <c r="I24" s="66">
        <f>('Thurs (2)'!I24+Thurs!I24+'Tues '!I24+Wed!I24+Fri!I24+'Mon '!I24+'Wed (2)'!I24+Sun!I24+Sat!I24)</f>
        <v>2</v>
      </c>
      <c r="J24" s="66">
        <f>('Thurs (2)'!J24+Thurs!J24+'Tues '!J24+Wed!J24+Fri!J24+'Mon '!J24+'Wed (2)'!J24+Sun!J24+Sat!J24)</f>
        <v>2</v>
      </c>
      <c r="K24" s="66">
        <f>('Thurs (2)'!K24+Thurs!K24+'Tues '!K24+Wed!K24+Fri!K24+'Mon '!K24+'Wed (2)'!K24+Sun!K24+Sat!K24)</f>
        <v>2</v>
      </c>
      <c r="L24" s="66">
        <f>('Thurs (2)'!L24+Thurs!L24+'Tues '!L24+Wed!L24+Fri!L24+'Mon '!L24+'Wed (2)'!L24+Sun!L24+Sat!L24)</f>
        <v>1</v>
      </c>
      <c r="M24" s="66">
        <f>('Thurs (2)'!M24+Thurs!M24+'Tues '!M24+Wed!M24+Fri!M24+'Mon '!M24+'Wed (2)'!M24+Sun!M24+Sat!M24)</f>
        <v>9</v>
      </c>
      <c r="N24" s="66">
        <f>('Thurs (2)'!N24+Thurs!N24+'Tues '!N24+Wed!N24+Fri!N24+'Mon '!N24+'Wed (2)'!N24+Sun!N24+Sat!N24)</f>
        <v>2</v>
      </c>
      <c r="O24" s="66">
        <f>('Thurs (2)'!O24+Thurs!O24+'Tues '!O24+Wed!O24+Fri!O24+'Mon '!O24+'Wed (2)'!O24+Sun!O24+Sat!O24)</f>
        <v>2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3593</v>
      </c>
      <c r="U24" s="67">
        <f t="shared" si="2"/>
        <v>1</v>
      </c>
      <c r="V24" s="67">
        <f t="shared" si="3"/>
        <v>0.6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>
        <f>('Thurs (2)'!G25+Thurs!G25+'Tues '!G25+Wed!G25+Fri!G25+'Mon '!G25+'Wed (2)'!G25+Sun!G25+Sat!G25)</f>
        <v>2</v>
      </c>
      <c r="H25" s="66">
        <f>('Thurs (2)'!H25+Thurs!H25+'Tues '!H25+Wed!H25+Fri!H25+'Mon '!H25+'Wed (2)'!H25+Sun!H25+Sat!H25)</f>
        <v>1</v>
      </c>
      <c r="I25" s="66">
        <f>('Thurs (2)'!I25+Thurs!I25+'Tues '!I25+Wed!I25+Fri!I25+'Mon '!I25+'Wed (2)'!I25+Sun!I25+Sat!I25)</f>
        <v>1</v>
      </c>
      <c r="J25" s="66">
        <f>('Thurs (2)'!J25+Thurs!J25+'Tues '!J25+Wed!J25+Fri!J25+'Mon '!J25+'Wed (2)'!J25+Sun!J25+Sat!J25)</f>
        <v>1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6</v>
      </c>
      <c r="N25" s="66">
        <f>('Thurs (2)'!N25+Thurs!N25+'Tues '!N25+Wed!N25+Fri!N25+'Mon '!N25+'Wed (2)'!N25+Sun!N25+Sat!N25)</f>
        <v>1</v>
      </c>
      <c r="O25" s="66">
        <f>('Thurs (2)'!O25+Thurs!O25+'Tues '!O25+Wed!O25+Fri!O25+'Mon '!O25+'Wed (2)'!O25+Sun!O25+Sat!O25)</f>
        <v>1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1488</v>
      </c>
      <c r="U25" s="67">
        <f t="shared" si="2"/>
        <v>1</v>
      </c>
      <c r="V25" s="67">
        <f t="shared" si="3"/>
        <v>0.5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>
        <f>('Thurs (2)'!G26+Thurs!G26+'Tues '!G26+Wed!G26+Fri!G26+'Mon '!G26+'Wed (2)'!G26+Sun!G26+Sat!G26)</f>
        <v>7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>
        <f>('Thurs (2)'!G27+Thurs!G27+'Tues '!G27+Wed!G27+Fri!G27+'Mon '!G27+'Wed (2)'!G27+Sun!G27+Sat!G27)</f>
        <v>0</v>
      </c>
      <c r="H27" s="66">
        <f>('Thurs (2)'!H27+Thurs!H27+'Tues '!H27+Wed!H27+Fri!H27+'Mon '!H27+'Wed (2)'!H27+Sun!H27+Sat!H27)</f>
        <v>0</v>
      </c>
      <c r="I27" s="66">
        <f>('Thurs (2)'!I27+Thurs!I27+'Tues '!I27+Wed!I27+Fri!I27+'Mon '!I27+'Wed (2)'!I27+Sun!I27+Sat!I27)</f>
        <v>0</v>
      </c>
      <c r="J27" s="66">
        <f>('Thurs (2)'!J27+Thurs!J27+'Tues '!J27+Wed!J27+Fri!J27+'Mon '!J27+'Wed (2)'!J27+Sun!J27+Sat!J27)</f>
        <v>0</v>
      </c>
      <c r="K27" s="66">
        <f>('Thurs (2)'!K27+Thurs!K27+'Tues '!K27+Wed!K27+Fri!K27+'Mon '!K27+'Wed (2)'!K27+Sun!K27+Sat!K27)</f>
        <v>0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0</v>
      </c>
      <c r="N27" s="66">
        <f>('Thurs (2)'!N27+Thurs!N27+'Tues '!N27+Wed!N27+Fri!N27+'Mon '!N27+'Wed (2)'!N27+Sun!N27+Sat!N27)</f>
        <v>0</v>
      </c>
      <c r="O27" s="66">
        <f>('Thurs (2)'!O27+Thurs!O27+'Tues '!O27+Wed!O27+Fri!O27+'Mon '!O27+'Wed (2)'!O27+Sun!O27+Sat!O27)</f>
        <v>0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0</v>
      </c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>
        <f>('Thurs (2)'!G28+Thurs!G28+'Tues '!G28+Wed!G28+Fri!G28+'Mon '!G28+'Wed (2)'!G28+Sun!G28+Sat!G28)</f>
        <v>1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>
        <f>('Thurs (2)'!G29+Thurs!G29+'Tues '!G29+Wed!G29+Fri!G29+'Mon '!G29+'Wed (2)'!G29+Sun!G29+Sat!G29)</f>
        <v>0</v>
      </c>
      <c r="H29" s="66">
        <f>('Thurs (2)'!H29+Thurs!H29+'Tues '!H29+Wed!H29+Fri!H29+'Mon '!H29+'Wed (2)'!H29+Sun!H29+Sat!H29)</f>
        <v>0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0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>
        <f>('Thurs (2)'!G30+Thurs!G30+'Tues '!G30+Wed!G30+Fri!G30+'Mon '!G30+'Wed (2)'!G30+Sun!G30+Sat!G30)</f>
        <v>2</v>
      </c>
      <c r="H30" s="66">
        <f>('Thurs (2)'!H30+Thurs!H30+'Tues '!H30+Wed!H30+Fri!H30+'Mon '!H30+'Wed (2)'!H30+Sun!H30+Sat!H30)</f>
        <v>2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2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6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2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1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>
        <f>('Thurs (2)'!G31+Thurs!G31+'Tues '!G31+Wed!G31+Fri!G31+'Mon '!G31+'Wed (2)'!G31+Sun!G31+Sat!G31)</f>
        <v>5</v>
      </c>
      <c r="H31" s="66">
        <f>('Thurs (2)'!H31+Thurs!H31+'Tues '!H31+Wed!H31+Fri!H31+'Mon '!H31+'Wed (2)'!H31+Sun!H31+Sat!H31)</f>
        <v>0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0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>
        <f>('Thurs (2)'!G32+Thurs!G32+'Tues '!G32+Wed!G32+Fri!G32+'Mon '!G32+'Wed (2)'!G32+Sun!G32+Sat!G32)</f>
        <v>8</v>
      </c>
      <c r="H32" s="66">
        <f>('Thurs (2)'!H32+Thurs!H32+'Tues '!H32+Wed!H32+Fri!H32+'Mon '!H32+'Wed (2)'!H32+Sun!H32+Sat!H32)</f>
        <v>3</v>
      </c>
      <c r="I32" s="66">
        <f>('Thurs (2)'!I32+Thurs!I32+'Tues '!I32+Wed!I32+Fri!I32+'Mon '!I32+'Wed (2)'!I32+Sun!I32+Sat!I32)</f>
        <v>2</v>
      </c>
      <c r="J32" s="66">
        <f>('Thurs (2)'!J32+Thurs!J32+'Tues '!J32+Wed!J32+Fri!J32+'Mon '!J32+'Wed (2)'!J32+Sun!J32+Sat!J32)</f>
        <v>1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5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3</v>
      </c>
      <c r="Q32" s="66">
        <f>('Thurs (2)'!Q32+Thurs!Q32+'Tues '!Q32+Wed!Q32+Fri!Q32+'Mon '!Q32+'Wed (2)'!Q32+Sun!Q32+Sat!Q32)</f>
        <v>2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3115</v>
      </c>
      <c r="U32" s="67">
        <f t="shared" si="2"/>
        <v>0.6666666667</v>
      </c>
      <c r="V32" s="67">
        <f t="shared" si="3"/>
        <v>0.375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>
        <f>('Thurs (2)'!G34+Thurs!G34+'Tues '!G34+Wed!G34+Fri!G34+'Mon '!G34+'Wed (2)'!G34+Sun!G34+Sat!G34)</f>
        <v>6</v>
      </c>
      <c r="H34" s="66">
        <f>('Thurs (2)'!H34+Thurs!H34+'Tues '!H34+Wed!H34+Fri!H34+'Mon '!H34+'Wed (2)'!H34+Sun!H34+Sat!H34)</f>
        <v>4</v>
      </c>
      <c r="I34" s="66">
        <f>('Thurs (2)'!I34+Thurs!I34+'Tues '!I34+Wed!I34+Fri!I34+'Mon '!I34+'Wed (2)'!I34+Sun!I34+Sat!I34)</f>
        <v>1</v>
      </c>
      <c r="J34" s="66">
        <f>('Thurs (2)'!J34+Thurs!J34+'Tues '!J34+Wed!J34+Fri!J34+'Mon '!J34+'Wed (2)'!J34+Sun!J34+Sat!J34)</f>
        <v>2</v>
      </c>
      <c r="K34" s="66">
        <f>('Thurs (2)'!K34+Thurs!K34+'Tues '!K34+Wed!K34+Fri!K34+'Mon '!K34+'Wed (2)'!K34+Sun!K34+Sat!K34)</f>
        <v>1</v>
      </c>
      <c r="L34" s="66">
        <f>('Thurs (2)'!L34+Thurs!L34+'Tues '!L34+Wed!L34+Fri!L34+'Mon '!L34+'Wed (2)'!L34+Sun!L34+Sat!L34)</f>
        <v>1</v>
      </c>
      <c r="M34" s="66">
        <f>('Thurs (2)'!M34+Thurs!M34+'Tues '!M34+Wed!M34+Fri!M34+'Mon '!M34+'Wed (2)'!M34+Sun!M34+Sat!M34)</f>
        <v>7</v>
      </c>
      <c r="N34" s="66">
        <f>('Thurs (2)'!N34+Thurs!N34+'Tues '!N34+Wed!N34+Fri!N34+'Mon '!N34+'Wed (2)'!N34+Sun!N34+Sat!N34)</f>
        <v>1</v>
      </c>
      <c r="O34" s="66">
        <f>('Thurs (2)'!O34+Thurs!O34+'Tues '!O34+Wed!O34+Fri!O34+'Mon '!O34+'Wed (2)'!O34+Sun!O34+Sat!O34)</f>
        <v>1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3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5008</v>
      </c>
      <c r="U34" s="67">
        <f t="shared" si="2"/>
        <v>0.25</v>
      </c>
      <c r="V34" s="67">
        <f t="shared" si="3"/>
        <v>0.8333333333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>
        <f>('Thurs (2)'!G35+Thurs!G35+'Tues '!G35+Wed!G35+Fri!G35+'Mon '!G35+'Wed (2)'!G35+Sun!G35+Sat!G35)</f>
        <v>0</v>
      </c>
      <c r="H35" s="66">
        <f>('Thurs (2)'!H35+Thurs!H35+'Tues '!H35+Wed!H35+Fri!H35+'Mon '!H35+'Wed (2)'!H35+Sun!H35+Sat!H35)</f>
        <v>0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>
        <f>('Thurs (2)'!G37+Thurs!G37+'Tues '!G37+Wed!G37+Fri!G37+'Mon '!G37+'Wed (2)'!G37+Sun!G37+Sat!G37)</f>
        <v>1</v>
      </c>
      <c r="H37" s="66">
        <f>('Thurs (2)'!H37+Thurs!H37+'Tues '!H37+Wed!H37+Fri!H37+'Mon '!H37+'Wed (2)'!H37+Sun!H37+Sat!H37)</f>
        <v>1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1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5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1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1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8686</v>
      </c>
      <c r="D2" s="9"/>
      <c r="E2" s="8">
        <f t="shared" ref="E2:R2" si="1">SUM(E5)</f>
        <v>2101</v>
      </c>
      <c r="F2" s="8">
        <f t="shared" si="1"/>
        <v>14</v>
      </c>
      <c r="G2" s="10">
        <f t="shared" si="1"/>
        <v>6</v>
      </c>
      <c r="H2" s="10">
        <f t="shared" si="1"/>
        <v>3</v>
      </c>
      <c r="I2" s="10">
        <f t="shared" si="1"/>
        <v>2</v>
      </c>
      <c r="J2" s="10">
        <f t="shared" si="1"/>
        <v>1</v>
      </c>
      <c r="K2" s="10">
        <f t="shared" si="1"/>
        <v>2</v>
      </c>
      <c r="L2" s="10">
        <f t="shared" si="1"/>
        <v>0</v>
      </c>
      <c r="M2" s="10">
        <f t="shared" si="1"/>
        <v>22</v>
      </c>
      <c r="N2" s="10">
        <f t="shared" si="1"/>
        <v>2</v>
      </c>
      <c r="O2" s="10">
        <f t="shared" si="1"/>
        <v>2</v>
      </c>
      <c r="P2" s="10">
        <f t="shared" si="1"/>
        <v>4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2895.333333</v>
      </c>
      <c r="F4" s="20">
        <f>IFERROR((G2+R2)/F2,0)</f>
        <v>0.5</v>
      </c>
      <c r="G4" s="20">
        <f>IFERROR(H2/G2,0)</f>
        <v>0.5</v>
      </c>
      <c r="H4" s="19">
        <f>(C2/C4)</f>
        <v>377.6521739</v>
      </c>
      <c r="I4" s="21"/>
      <c r="J4" s="20">
        <f>IFERROR(J2/I2,0)</f>
        <v>0.5</v>
      </c>
      <c r="K4" s="21"/>
      <c r="L4" s="20">
        <f>IFERROR(L2/K2,0)</f>
        <v>0</v>
      </c>
      <c r="M4" s="22">
        <f>IFERROR(M2/G2,0)</f>
        <v>3.666666667</v>
      </c>
      <c r="N4" s="21"/>
      <c r="O4" s="20">
        <f>IFERROR(O2/N2,0)</f>
        <v>1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8686</v>
      </c>
      <c r="D5" s="26"/>
      <c r="E5" s="27">
        <f>SUMIFS(T:T,A:A,B5,D:D,"Y")</f>
        <v>2101</v>
      </c>
      <c r="F5" s="8">
        <f>SUMIF(A:A,B5,G:G)</f>
        <v>14</v>
      </c>
      <c r="G5" s="10">
        <f>SUMIF(A:A,B5,H:H)</f>
        <v>6</v>
      </c>
      <c r="H5" s="10">
        <f>SUMIF(A:A,B5,I:I)</f>
        <v>3</v>
      </c>
      <c r="I5" s="10">
        <f>SUMIF(A:A,B5,P:P)</f>
        <v>2</v>
      </c>
      <c r="J5" s="10">
        <f>SUMIF(A:A,B5,Q:Q)</f>
        <v>1</v>
      </c>
      <c r="K5" s="10">
        <f>SUMIF(A:A,B5,R:R)</f>
        <v>2</v>
      </c>
      <c r="L5" s="10">
        <f>SUMIF(A:A,B5,S:S)</f>
        <v>0</v>
      </c>
      <c r="M5" s="10">
        <f>SUMIF(A:A,B5,M:M)</f>
        <v>22</v>
      </c>
      <c r="N5" s="10">
        <f>SUMIF(A:A,B5,N:N)</f>
        <v>2</v>
      </c>
      <c r="O5" s="10">
        <f>SUMIF(A:A,B5,O:O)</f>
        <v>2</v>
      </c>
      <c r="P5" s="10">
        <f>SUMIF(A:A,B5,J:J)</f>
        <v>4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2895.333333</v>
      </c>
      <c r="F7" s="20">
        <f>IFERROR((G5+R5)/F5,0)</f>
        <v>0.5</v>
      </c>
      <c r="G7" s="20">
        <f>IFERROR(H5/G5,0)</f>
        <v>0.5</v>
      </c>
      <c r="H7" s="19">
        <f>(C5/C7)</f>
        <v>377.6521739</v>
      </c>
      <c r="I7" s="21"/>
      <c r="J7" s="20">
        <f>IFERROR(J5/I5,0)</f>
        <v>0.5</v>
      </c>
      <c r="K7" s="21"/>
      <c r="L7" s="20">
        <f>IFERROR(L5/K5,0)</f>
        <v>0</v>
      </c>
      <c r="M7" s="22">
        <f>IFERROR(M5/SUM(R5+G5,0),"")</f>
        <v>3.142857143</v>
      </c>
      <c r="N7" s="21"/>
      <c r="O7" s="20">
        <f>IFERROR(O5/N5,0)</f>
        <v>1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8686</v>
      </c>
      <c r="D8" s="36"/>
      <c r="E8" s="37">
        <f>SUMIFS(T:T,B:B,B8,D:D,"Y")</f>
        <v>2101</v>
      </c>
      <c r="F8" s="38">
        <f>SUMIF(B16:B1129,B8,G16:G1129)</f>
        <v>14</v>
      </c>
      <c r="G8" s="39">
        <f>SUMIF(B16:B1129,B8,H16:H1129)</f>
        <v>6</v>
      </c>
      <c r="H8" s="38">
        <f>SUMIF(B16:B1129,B8,I16:I1129)</f>
        <v>3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22</v>
      </c>
      <c r="N8" s="39">
        <f>SUMIF(B16:B1129,B8,N16:N1129)</f>
        <v>2</v>
      </c>
      <c r="O8" s="38">
        <f>SUMIF(B16:B1129,B8,O16:O1129)</f>
        <v>2</v>
      </c>
      <c r="P8" s="39">
        <f>SUMIF(B16:B1129,B8,J16:J1129)</f>
        <v>4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2895.333333</v>
      </c>
      <c r="F10" s="51">
        <f>IFERROR((G8+R8)/F8,0)</f>
        <v>0.5</v>
      </c>
      <c r="G10" s="51">
        <f>IFERROR(H8/G8,0)</f>
        <v>0.5</v>
      </c>
      <c r="H10" s="50">
        <f>(C8/C10)</f>
        <v>434.3</v>
      </c>
      <c r="I10" s="46"/>
      <c r="J10" s="51">
        <f>IFERROR(J8/I8,0)</f>
        <v>0.5</v>
      </c>
      <c r="K10" s="46"/>
      <c r="L10" s="51">
        <f>IFERROR(L8/K8,0)</f>
        <v>0</v>
      </c>
      <c r="M10" s="52">
        <f>IFERROR(M8/SUM(G8+R8,0),"")</f>
        <v>3.142857143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3.0</v>
      </c>
      <c r="H24" s="126">
        <v>1.0</v>
      </c>
      <c r="I24" s="126">
        <v>1.0</v>
      </c>
      <c r="J24" s="126">
        <v>1.0</v>
      </c>
      <c r="K24" s="126">
        <v>1.0</v>
      </c>
      <c r="L24" s="126">
        <v>1.0</v>
      </c>
      <c r="M24" s="126">
        <v>7.0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1646.0</v>
      </c>
      <c r="U24" s="67">
        <f t="shared" si="2"/>
        <v>1</v>
      </c>
      <c r="V24" s="67">
        <f t="shared" si="3"/>
        <v>0.6666666667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126">
        <v>2.0</v>
      </c>
      <c r="H25" s="126">
        <v>1.0</v>
      </c>
      <c r="I25" s="126">
        <v>1.0</v>
      </c>
      <c r="J25" s="126">
        <v>1.0</v>
      </c>
      <c r="K25" s="126">
        <v>1.0</v>
      </c>
      <c r="L25" s="126">
        <v>0.0</v>
      </c>
      <c r="M25" s="126">
        <v>6.0</v>
      </c>
      <c r="N25" s="126">
        <v>1.0</v>
      </c>
      <c r="O25" s="126">
        <v>1.0</v>
      </c>
      <c r="P25" s="126">
        <v>0.0</v>
      </c>
      <c r="Q25" s="126">
        <v>0.0</v>
      </c>
      <c r="R25" s="126">
        <v>0.0</v>
      </c>
      <c r="S25" s="126">
        <v>0.0</v>
      </c>
      <c r="T25" s="126">
        <v>1488.0</v>
      </c>
      <c r="U25" s="67">
        <f t="shared" si="2"/>
        <v>1</v>
      </c>
      <c r="V25" s="67">
        <f t="shared" si="3"/>
        <v>0.5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2.0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>IFERROR(I27/H27,0)</f>
        <v>0</v>
      </c>
      <c r="V27" s="67">
        <f t="shared" ref="V27:V28" si="4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si="4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127">
        <v>0.0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2.0</v>
      </c>
      <c r="H30" s="126">
        <v>2.0</v>
      </c>
      <c r="I30" s="126">
        <v>0.0</v>
      </c>
      <c r="J30" s="126">
        <v>2.0</v>
      </c>
      <c r="K30" s="126">
        <v>0.0</v>
      </c>
      <c r="L30" s="126">
        <v>0.0</v>
      </c>
      <c r="M30" s="126">
        <v>6.0</v>
      </c>
      <c r="N30" s="126">
        <v>0.0</v>
      </c>
      <c r="O30" s="126">
        <v>0.0</v>
      </c>
      <c r="P30" s="126">
        <v>0.0</v>
      </c>
      <c r="Q30" s="126">
        <v>0.0</v>
      </c>
      <c r="R30" s="126">
        <v>2.0</v>
      </c>
      <c r="S30" s="126">
        <v>0.0</v>
      </c>
      <c r="T30" s="126">
        <v>0.0</v>
      </c>
      <c r="U30" s="67">
        <f t="shared" ref="U30:U39" si="5">IFERROR(I30/H30,0)</f>
        <v>0</v>
      </c>
      <c r="V30" s="67">
        <f t="shared" ref="V30:V39" si="6">IFERROR(SUM(H30+L30)/G30,0)</f>
        <v>1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1.0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5"/>
        <v>0</v>
      </c>
      <c r="V31" s="67">
        <f t="shared" si="6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8">
        <v>4.0</v>
      </c>
      <c r="H32" s="128">
        <v>2.0</v>
      </c>
      <c r="I32" s="128">
        <v>1.0</v>
      </c>
      <c r="J32" s="128">
        <v>0.0</v>
      </c>
      <c r="K32" s="128">
        <v>0.0</v>
      </c>
      <c r="L32" s="128">
        <v>0.0</v>
      </c>
      <c r="M32" s="128">
        <v>3.0</v>
      </c>
      <c r="N32" s="128">
        <v>0.0</v>
      </c>
      <c r="O32" s="128">
        <v>0.0</v>
      </c>
      <c r="P32" s="128">
        <v>2.0</v>
      </c>
      <c r="Q32" s="128">
        <v>1.0</v>
      </c>
      <c r="R32" s="128">
        <v>0.0</v>
      </c>
      <c r="S32" s="128">
        <v>0.0</v>
      </c>
      <c r="T32" s="128">
        <v>2101.0</v>
      </c>
      <c r="U32" s="67">
        <f t="shared" si="5"/>
        <v>0.5</v>
      </c>
      <c r="V32" s="67">
        <f t="shared" si="6"/>
        <v>0.5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8">
        <v>0.0</v>
      </c>
      <c r="H33" s="128">
        <v>0.0</v>
      </c>
      <c r="I33" s="128">
        <v>0.0</v>
      </c>
      <c r="J33" s="128">
        <v>0.0</v>
      </c>
      <c r="K33" s="129"/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67">
        <f t="shared" si="5"/>
        <v>0</v>
      </c>
      <c r="V33" s="67">
        <f t="shared" si="6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8">
        <v>3451.0</v>
      </c>
      <c r="U34" s="67">
        <f t="shared" si="5"/>
        <v>0</v>
      </c>
      <c r="V34" s="67">
        <f t="shared" si="6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67">
        <f t="shared" si="5"/>
        <v>0</v>
      </c>
      <c r="V35" s="67">
        <f t="shared" si="6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128">
        <v>0.0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67">
        <f t="shared" si="5"/>
        <v>0</v>
      </c>
      <c r="V36" s="67">
        <f t="shared" si="6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67">
        <f t="shared" si="5"/>
        <v>0</v>
      </c>
      <c r="V37" s="67">
        <f t="shared" si="6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6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6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2961</v>
      </c>
      <c r="D2" s="9"/>
      <c r="E2" s="8">
        <f t="shared" ref="E2:R2" si="1">SUM(E5)</f>
        <v>1014</v>
      </c>
      <c r="F2" s="8">
        <f t="shared" si="1"/>
        <v>15</v>
      </c>
      <c r="G2" s="10">
        <f t="shared" si="1"/>
        <v>5</v>
      </c>
      <c r="H2" s="10">
        <f t="shared" si="1"/>
        <v>2</v>
      </c>
      <c r="I2" s="10">
        <f t="shared" si="1"/>
        <v>1</v>
      </c>
      <c r="J2" s="10">
        <f t="shared" si="1"/>
        <v>1</v>
      </c>
      <c r="K2" s="10">
        <f t="shared" si="1"/>
        <v>3</v>
      </c>
      <c r="L2" s="10">
        <f t="shared" si="1"/>
        <v>0</v>
      </c>
      <c r="M2" s="10">
        <f t="shared" si="1"/>
        <v>13</v>
      </c>
      <c r="N2" s="10">
        <f t="shared" si="1"/>
        <v>1</v>
      </c>
      <c r="O2" s="10">
        <f t="shared" si="1"/>
        <v>1</v>
      </c>
      <c r="P2" s="10">
        <f t="shared" si="1"/>
        <v>4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1480.5</v>
      </c>
      <c r="F4" s="20">
        <f>IFERROR((G2+R2)/F2,0)</f>
        <v>0.4</v>
      </c>
      <c r="G4" s="20">
        <f>IFERROR(H2/G2,0)</f>
        <v>0.4</v>
      </c>
      <c r="H4" s="19">
        <f>(C2/C4)</f>
        <v>128.7391304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2.6</v>
      </c>
      <c r="N4" s="21"/>
      <c r="O4" s="20">
        <f>IFERROR(O2/N2,0)</f>
        <v>1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2961</v>
      </c>
      <c r="D5" s="26"/>
      <c r="E5" s="27">
        <f>SUMIFS(T:T,A:A,B5,D:D,"Y")</f>
        <v>1014</v>
      </c>
      <c r="F5" s="8">
        <f>SUMIF(A:A,B5,G:G)</f>
        <v>15</v>
      </c>
      <c r="G5" s="10">
        <f>SUMIF(A:A,B5,H:H)</f>
        <v>5</v>
      </c>
      <c r="H5" s="10">
        <f>SUMIF(A:A,B5,I:I)</f>
        <v>2</v>
      </c>
      <c r="I5" s="10">
        <f>SUMIF(A:A,B5,P:P)</f>
        <v>1</v>
      </c>
      <c r="J5" s="10">
        <f>SUMIF(A:A,B5,Q:Q)</f>
        <v>1</v>
      </c>
      <c r="K5" s="10">
        <f>SUMIF(A:A,B5,R:R)</f>
        <v>3</v>
      </c>
      <c r="L5" s="10">
        <f>SUMIF(A:A,B5,S:S)</f>
        <v>0</v>
      </c>
      <c r="M5" s="10">
        <f>SUMIF(A:A,B5,M:M)</f>
        <v>13</v>
      </c>
      <c r="N5" s="10">
        <f>SUMIF(A:A,B5,N:N)</f>
        <v>1</v>
      </c>
      <c r="O5" s="10">
        <f>SUMIF(A:A,B5,O:O)</f>
        <v>1</v>
      </c>
      <c r="P5" s="10">
        <f>SUMIF(A:A,B5,J:J)</f>
        <v>4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1480.5</v>
      </c>
      <c r="F7" s="20">
        <f>IFERROR((G5+R5)/F5,0)</f>
        <v>0.4</v>
      </c>
      <c r="G7" s="20">
        <f>IFERROR(H5/G5,0)</f>
        <v>0.4</v>
      </c>
      <c r="H7" s="19">
        <f>(C5/C7)</f>
        <v>128.7391304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2.166666667</v>
      </c>
      <c r="N7" s="21"/>
      <c r="O7" s="20">
        <f>IFERROR(O5/N5,0)</f>
        <v>1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2961</v>
      </c>
      <c r="D8" s="36"/>
      <c r="E8" s="37">
        <f>SUMIFS(T:T,B:B,B8,D:D,"Y")</f>
        <v>1014</v>
      </c>
      <c r="F8" s="38">
        <f>SUMIF(B16:B1129,B8,G16:G1129)</f>
        <v>15</v>
      </c>
      <c r="G8" s="39">
        <f>SUMIF(B16:B1129,B8,H16:H1129)</f>
        <v>5</v>
      </c>
      <c r="H8" s="38">
        <f>SUMIF(B16:B1129,B8,I16:I1129)</f>
        <v>2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3</v>
      </c>
      <c r="L8" s="39">
        <f>SUMIF(B16:B1129,B8,S16:S1129)</f>
        <v>0</v>
      </c>
      <c r="M8" s="39">
        <f>SUMIF(B16:B1129,B8,M16:M1129)</f>
        <v>13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4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1480.5</v>
      </c>
      <c r="F10" s="51">
        <f>IFERROR((G8+R8)/F8,0)</f>
        <v>0.4</v>
      </c>
      <c r="G10" s="51">
        <f>IFERROR(H8/G8,0)</f>
        <v>0.4</v>
      </c>
      <c r="H10" s="50">
        <f>(C8/C10)</f>
        <v>148.05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2.166666667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2.0</v>
      </c>
      <c r="H24" s="126">
        <v>1.0</v>
      </c>
      <c r="I24" s="126">
        <v>1.0</v>
      </c>
      <c r="J24" s="126">
        <v>1.0</v>
      </c>
      <c r="K24" s="126">
        <v>1.0</v>
      </c>
      <c r="L24" s="126">
        <v>0.0</v>
      </c>
      <c r="M24" s="126">
        <v>2.0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1947.0</v>
      </c>
      <c r="U24" s="67">
        <f t="shared" si="2"/>
        <v>1</v>
      </c>
      <c r="V24" s="67">
        <f t="shared" si="3"/>
        <v>0.5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5.0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 t="shared" ref="V27:V39" si="4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>IFERROR(I28/H28,0)</f>
        <v>0</v>
      </c>
      <c r="V28" s="67">
        <f t="shared" si="4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67">
        <f t="shared" si="4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ref="U31:U39" si="5">IFERROR(I31/H31,0)</f>
        <v>0</v>
      </c>
      <c r="V31" s="67">
        <f t="shared" si="4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3.0</v>
      </c>
      <c r="H32" s="126">
        <v>1.0</v>
      </c>
      <c r="I32" s="126">
        <v>1.0</v>
      </c>
      <c r="J32" s="126">
        <v>1.0</v>
      </c>
      <c r="K32" s="126">
        <v>1.0</v>
      </c>
      <c r="L32" s="126">
        <v>0.0</v>
      </c>
      <c r="M32" s="126">
        <v>2.0</v>
      </c>
      <c r="N32" s="126">
        <v>0.0</v>
      </c>
      <c r="O32" s="126">
        <v>0.0</v>
      </c>
      <c r="P32" s="126">
        <v>1.0</v>
      </c>
      <c r="Q32" s="126">
        <v>1.0</v>
      </c>
      <c r="R32" s="126">
        <v>0.0</v>
      </c>
      <c r="S32" s="126">
        <v>0.0</v>
      </c>
      <c r="T32" s="126">
        <v>1014.0</v>
      </c>
      <c r="U32" s="67">
        <f t="shared" si="5"/>
        <v>1</v>
      </c>
      <c r="V32" s="67">
        <f t="shared" si="4"/>
        <v>0.3333333333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1.0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4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3.0</v>
      </c>
      <c r="H34" s="126">
        <v>2.0</v>
      </c>
      <c r="I34" s="126">
        <v>0.0</v>
      </c>
      <c r="J34" s="126">
        <v>1.0</v>
      </c>
      <c r="K34" s="126">
        <v>0.0</v>
      </c>
      <c r="L34" s="126">
        <v>1.0</v>
      </c>
      <c r="M34" s="126">
        <v>4.0</v>
      </c>
      <c r="N34" s="126">
        <v>0.0</v>
      </c>
      <c r="O34" s="126">
        <v>0.0</v>
      </c>
      <c r="P34" s="126">
        <v>0.0</v>
      </c>
      <c r="Q34" s="126">
        <v>0.0</v>
      </c>
      <c r="R34" s="126">
        <v>2.0</v>
      </c>
      <c r="S34" s="126">
        <v>0.0</v>
      </c>
      <c r="T34" s="126">
        <v>0.0</v>
      </c>
      <c r="U34" s="67">
        <f t="shared" si="5"/>
        <v>0</v>
      </c>
      <c r="V34" s="67">
        <f t="shared" si="4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4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4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126">
        <v>1.0</v>
      </c>
      <c r="H37" s="126">
        <v>1.0</v>
      </c>
      <c r="I37" s="126">
        <v>0.0</v>
      </c>
      <c r="J37" s="126">
        <v>1.0</v>
      </c>
      <c r="K37" s="126">
        <v>0.0</v>
      </c>
      <c r="L37" s="126">
        <v>0.0</v>
      </c>
      <c r="M37" s="126">
        <v>5.0</v>
      </c>
      <c r="N37" s="126">
        <v>0.0</v>
      </c>
      <c r="O37" s="126">
        <v>0.0</v>
      </c>
      <c r="P37" s="126">
        <v>0.0</v>
      </c>
      <c r="Q37" s="126">
        <v>0.0</v>
      </c>
      <c r="R37" s="126">
        <v>1.0</v>
      </c>
      <c r="S37" s="126">
        <v>0.0</v>
      </c>
      <c r="T37" s="126">
        <v>0.0</v>
      </c>
      <c r="U37" s="67">
        <f t="shared" si="5"/>
        <v>0</v>
      </c>
      <c r="V37" s="67">
        <f t="shared" si="4"/>
        <v>1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4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4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1557</v>
      </c>
      <c r="D2" s="9"/>
      <c r="E2" s="8">
        <f t="shared" ref="E2:R2" si="1">SUM(E5)</f>
        <v>0</v>
      </c>
      <c r="F2" s="8">
        <f t="shared" si="1"/>
        <v>8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3</v>
      </c>
      <c r="N2" s="10">
        <f t="shared" si="1"/>
        <v>1</v>
      </c>
      <c r="O2" s="10">
        <f t="shared" si="1"/>
        <v>1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1557</v>
      </c>
      <c r="F4" s="20">
        <f>IFERROR((G2+R2)/F2,0)</f>
        <v>0.25</v>
      </c>
      <c r="G4" s="20">
        <f>IFERROR(H2/G2,0)</f>
        <v>0.5</v>
      </c>
      <c r="H4" s="19">
        <f>(C2/C4)</f>
        <v>67.69565217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1.5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1557</v>
      </c>
      <c r="D5" s="26"/>
      <c r="E5" s="27">
        <f>SUMIFS(T:T,A:A,B5,D:D,"Y")</f>
        <v>0</v>
      </c>
      <c r="F5" s="8">
        <f>SUMIF(A:A,B5,G:G)</f>
        <v>8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3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1557</v>
      </c>
      <c r="F7" s="20">
        <f>IFERROR((G5+R5)/F5,0)</f>
        <v>0.25</v>
      </c>
      <c r="G7" s="20">
        <f>IFERROR(H5/G5,0)</f>
        <v>0.5</v>
      </c>
      <c r="H7" s="19">
        <f>(C5/C7)</f>
        <v>67.69565217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1557</v>
      </c>
      <c r="D8" s="36"/>
      <c r="E8" s="37">
        <f>SUMIFS(T:T,B:B,B8,D:D,"Y")</f>
        <v>0</v>
      </c>
      <c r="F8" s="38">
        <f>SUMIF(B16:B1129,B8,G16:G1129)</f>
        <v>8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3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1557</v>
      </c>
      <c r="F10" s="51">
        <f>IFERROR((G8+R8)/F8,0)</f>
        <v>0.25</v>
      </c>
      <c r="G10" s="51">
        <f>IFERROR(H8/G8,0)</f>
        <v>0.5</v>
      </c>
      <c r="H10" s="50">
        <f>(C8/C10)</f>
        <v>77.85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>IFERROR(I27/H27,0)</f>
        <v>0</v>
      </c>
      <c r="V27" s="67">
        <f t="shared" ref="V27:V30" si="4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1.0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si="4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>IFERROR(I29/H29,0)</f>
        <v>0</v>
      </c>
      <c r="V29" s="67">
        <f t="shared" si="4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4.0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127">
        <v>0.0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66"/>
      <c r="R32" s="66"/>
      <c r="S32" s="66"/>
      <c r="T32" s="66"/>
      <c r="U32" s="67">
        <f t="shared" ref="U32:U39" si="5">IFERROR(I32/H32,0)</f>
        <v>0</v>
      </c>
      <c r="V32" s="67">
        <f t="shared" ref="V32:V39" si="6">IFERROR(SUM(H32+L32)/G32,0)</f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6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3.0</v>
      </c>
      <c r="H34" s="126">
        <v>2.0</v>
      </c>
      <c r="I34" s="126">
        <v>1.0</v>
      </c>
      <c r="J34" s="126">
        <v>1.0</v>
      </c>
      <c r="K34" s="126">
        <v>1.0</v>
      </c>
      <c r="L34" s="126">
        <v>0.0</v>
      </c>
      <c r="M34" s="126">
        <v>3.0</v>
      </c>
      <c r="N34" s="126">
        <v>1.0</v>
      </c>
      <c r="O34" s="126">
        <v>1.0</v>
      </c>
      <c r="P34" s="126">
        <v>0.0</v>
      </c>
      <c r="Q34" s="126">
        <v>0.0</v>
      </c>
      <c r="R34" s="126">
        <v>1.0</v>
      </c>
      <c r="S34" s="126">
        <v>0.0</v>
      </c>
      <c r="T34" s="126">
        <v>1557.0</v>
      </c>
      <c r="U34" s="67">
        <f t="shared" si="5"/>
        <v>0.5</v>
      </c>
      <c r="V34" s="67">
        <f t="shared" si="6"/>
        <v>0.6666666667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6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6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6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66"/>
      <c r="U38" s="67">
        <f t="shared" si="5"/>
        <v>0</v>
      </c>
      <c r="V38" s="67">
        <f t="shared" si="6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6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 t="shared" ref="V27:V39" si="4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si="4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>IFERROR(I29/H29,0)</f>
        <v>0</v>
      </c>
      <c r="V29" s="67">
        <f t="shared" si="4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4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ref="U32:U39" si="5">IFERROR(I32/H32,0)</f>
        <v>0</v>
      </c>
      <c r="V32" s="67">
        <f t="shared" si="4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5"/>
        <v>0</v>
      </c>
      <c r="V33" s="67">
        <f t="shared" si="4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5"/>
        <v>0</v>
      </c>
      <c r="V34" s="67">
        <f t="shared" si="4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5"/>
        <v>0</v>
      </c>
      <c r="V35" s="67">
        <f t="shared" si="4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5"/>
        <v>0</v>
      </c>
      <c r="V36" s="67">
        <f t="shared" si="4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5"/>
        <v>0</v>
      </c>
      <c r="V37" s="67">
        <f t="shared" si="4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4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4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1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127">
        <v>0.0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67">
        <f t="shared" ref="V29:V39" si="4">IFERROR(SUM(H29+L29)/G29,0)</f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ref="U31:U39" si="5">IFERROR(I31/H31,0)</f>
        <v>0</v>
      </c>
      <c r="V31" s="67">
        <f t="shared" si="4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5"/>
        <v>0</v>
      </c>
      <c r="V32" s="67">
        <f t="shared" si="4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4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5"/>
        <v>0</v>
      </c>
      <c r="V34" s="67">
        <f t="shared" si="4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4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4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4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4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4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39" si="2">IFERROR(I17/H17,0)</f>
        <v>0</v>
      </c>
      <c r="V17" s="67">
        <f t="shared" ref="V17:V3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39" si="2">IFERROR(I17/H17,0)</f>
        <v>0</v>
      </c>
      <c r="V17" s="67">
        <f t="shared" ref="V17:V3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39" si="2">IFERROR(I17/H17,0)</f>
        <v>0</v>
      </c>
      <c r="V17" s="67">
        <f t="shared" ref="V17:V3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20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SUMIF(B40:B1129,B11,G40:G1129)</f>
        <v>0</v>
      </c>
      <c r="G11" s="39">
        <f>SUMIF(B40:B1129,B11,H40:H1129)</f>
        <v>0</v>
      </c>
      <c r="H11" s="38">
        <f>SUMIF(B40:B1129,B11,I40:I1129)</f>
        <v>0</v>
      </c>
      <c r="I11" s="39">
        <f>SUMIF(B40:B1129,B11,P40:P1129)</f>
        <v>0</v>
      </c>
      <c r="J11" s="39">
        <f>SUMIF(B40:B1129,B11,Q40:Q1129)</f>
        <v>0</v>
      </c>
      <c r="K11" s="39">
        <f>SUMIF(B40:B1129,B11,R40:R1129)</f>
        <v>0</v>
      </c>
      <c r="L11" s="39">
        <f>SUMIF(B40:B1129,B11,S40:S1129)</f>
        <v>0</v>
      </c>
      <c r="M11" s="39">
        <f>SUMIF(B40:B1129,B11,M40:M1129)</f>
        <v>0</v>
      </c>
      <c r="N11" s="39">
        <f>SUMIF(B40:B1129,B11,N40:N1129)</f>
        <v>0</v>
      </c>
      <c r="O11" s="38">
        <f>SUMIF(B40:B1129,B11,O40:O1129)</f>
        <v>0</v>
      </c>
      <c r="P11" s="39">
        <f>SUMIF(B40:B1129,B11,J40:J1129)</f>
        <v>0</v>
      </c>
      <c r="Q11" s="39">
        <f>SUMIF(B40:B1129,B11,K40:K1129)</f>
        <v>0</v>
      </c>
      <c r="R11" s="38">
        <f>SUMIF(B40:B1129,B11,L40:L1129)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39" si="2">IFERROR(I17/H17,0)</f>
        <v>0</v>
      </c>
      <c r="V17" s="67">
        <f t="shared" ref="V17:V3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30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46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7" t="s">
        <v>26</v>
      </c>
      <c r="B38" s="112" t="s">
        <v>28</v>
      </c>
      <c r="C38" s="113"/>
      <c r="D38" s="114" t="s">
        <v>45</v>
      </c>
      <c r="E38" s="68" t="s">
        <v>71</v>
      </c>
      <c r="F38" s="68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62" t="s">
        <v>26</v>
      </c>
      <c r="B39" s="34" t="s">
        <v>28</v>
      </c>
      <c r="C39" s="115"/>
      <c r="D39" s="116" t="s">
        <v>45</v>
      </c>
      <c r="E39" s="65" t="s">
        <v>71</v>
      </c>
      <c r="F39" s="65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/>
      <c r="B40" s="117"/>
      <c r="C40" s="117"/>
      <c r="D40" s="1"/>
      <c r="E40" s="117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</row>
    <row r="41" ht="12.75" customHeight="1">
      <c r="A41" s="117"/>
      <c r="B41" s="117"/>
      <c r="C41" s="117"/>
      <c r="D41" s="1"/>
      <c r="E41" s="117"/>
      <c r="F41" s="118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21"/>
      <c r="B560" s="121"/>
      <c r="C560" s="121"/>
      <c r="D560" s="122"/>
      <c r="E560" s="121"/>
      <c r="F560" s="123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5"/>
      <c r="V560" s="125"/>
    </row>
    <row r="561" ht="12.75" customHeight="1">
      <c r="A561" s="121"/>
      <c r="B561" s="121"/>
      <c r="C561" s="121"/>
      <c r="D561" s="122"/>
      <c r="E561" s="121"/>
      <c r="F561" s="123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5"/>
      <c r="V561" s="125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30"/>
      <c r="B1039" s="130"/>
      <c r="C1039" s="130"/>
      <c r="D1039" s="131"/>
      <c r="E1039" s="130"/>
      <c r="F1039" s="130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3"/>
      <c r="V1039" s="133"/>
    </row>
    <row r="1040" ht="12.75" customHeight="1">
      <c r="A1040" s="130"/>
      <c r="B1040" s="130"/>
      <c r="C1040" s="130"/>
      <c r="D1040" s="131"/>
      <c r="E1040" s="130"/>
      <c r="F1040" s="130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3"/>
      <c r="V1040" s="133"/>
    </row>
    <row r="1041" ht="12.75" customHeight="1">
      <c r="A1041" s="130"/>
      <c r="B1041" s="130"/>
      <c r="C1041" s="130"/>
      <c r="D1041" s="131"/>
      <c r="E1041" s="130"/>
      <c r="F1041" s="130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3"/>
      <c r="V1041" s="133"/>
    </row>
    <row r="1042" ht="12.75" customHeight="1">
      <c r="A1042" s="130"/>
      <c r="B1042" s="130"/>
      <c r="C1042" s="130"/>
      <c r="D1042" s="131"/>
      <c r="E1042" s="130"/>
      <c r="F1042" s="130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3"/>
      <c r="V1042" s="133"/>
    </row>
    <row r="1043" ht="12.75" customHeight="1">
      <c r="A1043" s="130"/>
      <c r="B1043" s="130"/>
      <c r="C1043" s="130"/>
      <c r="D1043" s="131"/>
      <c r="E1043" s="130"/>
      <c r="F1043" s="130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3"/>
      <c r="V1043" s="133"/>
    </row>
    <row r="1044" ht="12.75" customHeight="1">
      <c r="A1044" s="130"/>
      <c r="B1044" s="130"/>
      <c r="C1044" s="130"/>
      <c r="D1044" s="131"/>
      <c r="E1044" s="130"/>
      <c r="F1044" s="130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3"/>
      <c r="V1044" s="133"/>
    </row>
    <row r="1045" ht="12.75" customHeight="1">
      <c r="A1045" s="130"/>
      <c r="B1045" s="130"/>
      <c r="C1045" s="130"/>
      <c r="D1045" s="131"/>
      <c r="E1045" s="130"/>
      <c r="F1045" s="130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3"/>
      <c r="V1045" s="133"/>
    </row>
    <row r="1046" ht="12.75" customHeight="1">
      <c r="A1046" s="130"/>
      <c r="B1046" s="130"/>
      <c r="C1046" s="130"/>
      <c r="D1046" s="131"/>
      <c r="E1046" s="130"/>
      <c r="F1046" s="130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3"/>
      <c r="V1046" s="133"/>
    </row>
    <row r="1047" ht="12.75" customHeight="1">
      <c r="A1047" s="130"/>
      <c r="B1047" s="130"/>
      <c r="C1047" s="130"/>
      <c r="D1047" s="131"/>
      <c r="E1047" s="130"/>
      <c r="F1047" s="130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3"/>
      <c r="V1047" s="133"/>
    </row>
    <row r="1048" ht="12.75" customHeight="1">
      <c r="A1048" s="130"/>
      <c r="B1048" s="130"/>
      <c r="C1048" s="130"/>
      <c r="D1048" s="131"/>
      <c r="E1048" s="130"/>
      <c r="F1048" s="130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3"/>
      <c r="V1048" s="133"/>
    </row>
    <row r="1049" ht="12.75" customHeight="1">
      <c r="A1049" s="130"/>
      <c r="B1049" s="130"/>
      <c r="C1049" s="130"/>
      <c r="D1049" s="131"/>
      <c r="E1049" s="130"/>
      <c r="F1049" s="130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3"/>
      <c r="V1049" s="133"/>
    </row>
    <row r="1050" ht="12.75" customHeight="1">
      <c r="A1050" s="130"/>
      <c r="B1050" s="130"/>
      <c r="C1050" s="130"/>
      <c r="D1050" s="131"/>
      <c r="E1050" s="130"/>
      <c r="F1050" s="130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3"/>
      <c r="V1050" s="133"/>
    </row>
    <row r="1051" ht="12.75" customHeight="1">
      <c r="A1051" s="130"/>
      <c r="B1051" s="130"/>
      <c r="C1051" s="130"/>
      <c r="D1051" s="131"/>
      <c r="E1051" s="130"/>
      <c r="F1051" s="130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3"/>
      <c r="V1051" s="133"/>
    </row>
    <row r="1052" ht="12.75" customHeight="1">
      <c r="A1052" s="130"/>
      <c r="B1052" s="130"/>
      <c r="C1052" s="130"/>
      <c r="D1052" s="131"/>
      <c r="E1052" s="130"/>
      <c r="F1052" s="130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3"/>
      <c r="V1052" s="133"/>
    </row>
    <row r="1053" ht="12.75" customHeight="1">
      <c r="A1053" s="130"/>
      <c r="B1053" s="130"/>
      <c r="C1053" s="130"/>
      <c r="D1053" s="131"/>
      <c r="E1053" s="130"/>
      <c r="F1053" s="130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3"/>
      <c r="V1053" s="133"/>
    </row>
    <row r="1054" ht="12.75" customHeight="1">
      <c r="A1054" s="130"/>
      <c r="B1054" s="130"/>
      <c r="C1054" s="130"/>
      <c r="D1054" s="131"/>
      <c r="E1054" s="130"/>
      <c r="F1054" s="130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3"/>
      <c r="V1054" s="133"/>
    </row>
    <row r="1055" ht="12.75" customHeight="1">
      <c r="A1055" s="130"/>
      <c r="B1055" s="130"/>
      <c r="C1055" s="130"/>
      <c r="D1055" s="131"/>
      <c r="E1055" s="130"/>
      <c r="F1055" s="130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3"/>
      <c r="V1055" s="133"/>
    </row>
    <row r="1056" ht="12.75" customHeight="1">
      <c r="A1056" s="130"/>
      <c r="B1056" s="130"/>
      <c r="C1056" s="130"/>
      <c r="D1056" s="131"/>
      <c r="E1056" s="130"/>
      <c r="F1056" s="130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3"/>
      <c r="V1056" s="133"/>
    </row>
    <row r="1057" ht="12.75" customHeight="1">
      <c r="A1057" s="130"/>
      <c r="B1057" s="130"/>
      <c r="C1057" s="130"/>
      <c r="D1057" s="131"/>
      <c r="E1057" s="130"/>
      <c r="F1057" s="130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3"/>
      <c r="V1057" s="133"/>
    </row>
    <row r="1058" ht="12.75" customHeight="1">
      <c r="A1058" s="130"/>
      <c r="B1058" s="130"/>
      <c r="C1058" s="130"/>
      <c r="D1058" s="131"/>
      <c r="E1058" s="130"/>
      <c r="F1058" s="130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3"/>
      <c r="V1058" s="133"/>
    </row>
    <row r="1059" ht="12.75" customHeight="1">
      <c r="A1059" s="130"/>
      <c r="B1059" s="130"/>
      <c r="C1059" s="130"/>
      <c r="D1059" s="131"/>
      <c r="E1059" s="130"/>
      <c r="F1059" s="130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3"/>
      <c r="V1059" s="133"/>
    </row>
    <row r="1060" ht="12.75" customHeight="1">
      <c r="A1060" s="130"/>
      <c r="B1060" s="130"/>
      <c r="C1060" s="130"/>
      <c r="D1060" s="131"/>
      <c r="E1060" s="130"/>
      <c r="F1060" s="130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3"/>
      <c r="V1060" s="133"/>
    </row>
    <row r="1061" ht="12.75" customHeight="1">
      <c r="A1061" s="130"/>
      <c r="B1061" s="130"/>
      <c r="C1061" s="130"/>
      <c r="D1061" s="131"/>
      <c r="E1061" s="130"/>
      <c r="F1061" s="130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3"/>
      <c r="V1061" s="133"/>
    </row>
    <row r="1062" ht="12.75" customHeight="1">
      <c r="A1062" s="130"/>
      <c r="B1062" s="130"/>
      <c r="C1062" s="130"/>
      <c r="D1062" s="131"/>
      <c r="E1062" s="130"/>
      <c r="F1062" s="130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3"/>
      <c r="V1062" s="133"/>
    </row>
    <row r="1063" ht="12.75" customHeight="1">
      <c r="A1063" s="130"/>
      <c r="B1063" s="130"/>
      <c r="C1063" s="130"/>
      <c r="D1063" s="131"/>
      <c r="E1063" s="130"/>
      <c r="F1063" s="130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3"/>
      <c r="V1063" s="133"/>
    </row>
    <row r="1064" ht="12.75" customHeight="1">
      <c r="A1064" s="130"/>
      <c r="B1064" s="130"/>
      <c r="C1064" s="130"/>
      <c r="D1064" s="131"/>
      <c r="E1064" s="130"/>
      <c r="F1064" s="130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3"/>
      <c r="V1064" s="133"/>
    </row>
    <row r="1065" ht="12.75" customHeight="1">
      <c r="A1065" s="130"/>
      <c r="B1065" s="130"/>
      <c r="C1065" s="130"/>
      <c r="D1065" s="131"/>
      <c r="E1065" s="130"/>
      <c r="F1065" s="130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3"/>
      <c r="V1065" s="133"/>
    </row>
    <row r="1066" ht="12.75" customHeight="1">
      <c r="A1066" s="130"/>
      <c r="B1066" s="130"/>
      <c r="C1066" s="130"/>
      <c r="D1066" s="131"/>
      <c r="E1066" s="130"/>
      <c r="F1066" s="130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3"/>
      <c r="V1066" s="133"/>
    </row>
    <row r="1067" ht="12.75" customHeight="1">
      <c r="A1067" s="130"/>
      <c r="B1067" s="130"/>
      <c r="C1067" s="130"/>
      <c r="D1067" s="131"/>
      <c r="E1067" s="130"/>
      <c r="F1067" s="130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3"/>
      <c r="V1067" s="133"/>
    </row>
    <row r="1068" ht="12.75" customHeight="1">
      <c r="A1068" s="130"/>
      <c r="B1068" s="130"/>
      <c r="C1068" s="130"/>
      <c r="D1068" s="131"/>
      <c r="E1068" s="130"/>
      <c r="F1068" s="130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3"/>
      <c r="V1068" s="133"/>
    </row>
    <row r="1069" ht="12.75" customHeight="1">
      <c r="A1069" s="130"/>
      <c r="B1069" s="130"/>
      <c r="C1069" s="130"/>
      <c r="D1069" s="131"/>
      <c r="E1069" s="130"/>
      <c r="F1069" s="130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3"/>
      <c r="V1069" s="133"/>
    </row>
    <row r="1070" ht="12.75" customHeight="1">
      <c r="A1070" s="130"/>
      <c r="B1070" s="130"/>
      <c r="C1070" s="130"/>
      <c r="D1070" s="131"/>
      <c r="E1070" s="130"/>
      <c r="F1070" s="130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3"/>
      <c r="V1070" s="133"/>
    </row>
    <row r="1071" ht="12.75" customHeight="1">
      <c r="A1071" s="130"/>
      <c r="B1071" s="130"/>
      <c r="C1071" s="130"/>
      <c r="D1071" s="131"/>
      <c r="E1071" s="130"/>
      <c r="F1071" s="130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3"/>
      <c r="V1071" s="133"/>
    </row>
    <row r="1072" ht="12.75" customHeight="1">
      <c r="A1072" s="130"/>
      <c r="B1072" s="130"/>
      <c r="C1072" s="130"/>
      <c r="D1072" s="131"/>
      <c r="E1072" s="130"/>
      <c r="F1072" s="130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3"/>
      <c r="V1072" s="133"/>
    </row>
    <row r="1073" ht="12.75" customHeight="1">
      <c r="A1073" s="130"/>
      <c r="B1073" s="130"/>
      <c r="C1073" s="130"/>
      <c r="D1073" s="131"/>
      <c r="E1073" s="130"/>
      <c r="F1073" s="130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3"/>
      <c r="V1073" s="133"/>
    </row>
    <row r="1074" ht="12.75" customHeight="1">
      <c r="A1074" s="130"/>
      <c r="B1074" s="130"/>
      <c r="C1074" s="130"/>
      <c r="D1074" s="131"/>
      <c r="E1074" s="130"/>
      <c r="F1074" s="130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</row>
    <row r="1075" ht="12.75" customHeight="1">
      <c r="A1075" s="130"/>
      <c r="B1075" s="130"/>
      <c r="C1075" s="130"/>
      <c r="D1075" s="131"/>
      <c r="E1075" s="130"/>
      <c r="F1075" s="130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</row>
    <row r="1076" ht="12.75" customHeight="1">
      <c r="A1076" s="130"/>
      <c r="B1076" s="130"/>
      <c r="C1076" s="130"/>
      <c r="D1076" s="131"/>
      <c r="E1076" s="130"/>
      <c r="F1076" s="130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</row>
    <row r="1077" ht="12.75" customHeight="1">
      <c r="A1077" s="130"/>
      <c r="B1077" s="130"/>
      <c r="C1077" s="130"/>
      <c r="D1077" s="131"/>
      <c r="E1077" s="130"/>
      <c r="F1077" s="130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</row>
    <row r="1078" ht="12.75" customHeight="1">
      <c r="A1078" s="130"/>
      <c r="B1078" s="130"/>
      <c r="C1078" s="130"/>
      <c r="D1078" s="131"/>
      <c r="E1078" s="130"/>
      <c r="F1078" s="130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</row>
    <row r="1079" ht="12.75" customHeight="1">
      <c r="A1079" s="130"/>
      <c r="B1079" s="130"/>
      <c r="C1079" s="130"/>
      <c r="D1079" s="131"/>
      <c r="E1079" s="130"/>
      <c r="F1079" s="130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</row>
    <row r="1080" ht="12.75" customHeight="1">
      <c r="A1080" s="130"/>
      <c r="B1080" s="130"/>
      <c r="C1080" s="130"/>
      <c r="D1080" s="131"/>
      <c r="E1080" s="130"/>
      <c r="F1080" s="130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</row>
    <row r="1081" ht="12.75" customHeight="1">
      <c r="A1081" s="130"/>
      <c r="B1081" s="130"/>
      <c r="C1081" s="130"/>
      <c r="D1081" s="131"/>
      <c r="E1081" s="130"/>
      <c r="F1081" s="130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</row>
    <row r="1082" ht="12.75" customHeight="1">
      <c r="A1082" s="130"/>
      <c r="B1082" s="130"/>
      <c r="C1082" s="130"/>
      <c r="D1082" s="131"/>
      <c r="E1082" s="130"/>
      <c r="F1082" s="130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</row>
    <row r="1083" ht="12.75" customHeight="1">
      <c r="A1083" s="130"/>
      <c r="B1083" s="130"/>
      <c r="C1083" s="130"/>
      <c r="D1083" s="131"/>
      <c r="E1083" s="130"/>
      <c r="F1083" s="130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</row>
    <row r="1084" ht="12.75" customHeight="1">
      <c r="A1084" s="130"/>
      <c r="B1084" s="130"/>
      <c r="C1084" s="130"/>
      <c r="D1084" s="131"/>
      <c r="E1084" s="130"/>
      <c r="F1084" s="130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</row>
    <row r="1085" ht="12.75" customHeight="1">
      <c r="A1085" s="130"/>
      <c r="B1085" s="130"/>
      <c r="C1085" s="130"/>
      <c r="D1085" s="131"/>
      <c r="E1085" s="130"/>
      <c r="F1085" s="130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</row>
    <row r="1086" ht="12.75" customHeight="1">
      <c r="A1086" s="130"/>
      <c r="B1086" s="130"/>
      <c r="C1086" s="130"/>
      <c r="D1086" s="131"/>
      <c r="E1086" s="130"/>
      <c r="F1086" s="130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</row>
    <row r="1087" ht="12.75" customHeight="1">
      <c r="A1087" s="130"/>
      <c r="B1087" s="130"/>
      <c r="C1087" s="130"/>
      <c r="D1087" s="131"/>
      <c r="E1087" s="130"/>
      <c r="F1087" s="130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</row>
    <row r="1088" ht="12.75" customHeight="1">
      <c r="A1088" s="130"/>
      <c r="B1088" s="130"/>
      <c r="C1088" s="130"/>
      <c r="D1088" s="131"/>
      <c r="E1088" s="130"/>
      <c r="F1088" s="130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</row>
    <row r="1089" ht="12.75" customHeight="1">
      <c r="A1089" s="130"/>
      <c r="B1089" s="130"/>
      <c r="C1089" s="130"/>
      <c r="D1089" s="131"/>
      <c r="E1089" s="130"/>
      <c r="F1089" s="130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</row>
    <row r="1090" ht="12.75" customHeight="1">
      <c r="A1090" s="130"/>
      <c r="B1090" s="130"/>
      <c r="C1090" s="130"/>
      <c r="D1090" s="131"/>
      <c r="E1090" s="130"/>
      <c r="F1090" s="130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</row>
    <row r="1091" ht="12.75" customHeight="1">
      <c r="A1091" s="130"/>
      <c r="B1091" s="130"/>
      <c r="C1091" s="130"/>
      <c r="D1091" s="131"/>
      <c r="E1091" s="130"/>
      <c r="F1091" s="130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</row>
    <row r="1092" ht="12.75" customHeight="1">
      <c r="A1092" s="130"/>
      <c r="B1092" s="130"/>
      <c r="C1092" s="130"/>
      <c r="D1092" s="131"/>
      <c r="E1092" s="130"/>
      <c r="F1092" s="130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</row>
    <row r="1093" ht="12.75" customHeight="1">
      <c r="A1093" s="130"/>
      <c r="B1093" s="130"/>
      <c r="C1093" s="130"/>
      <c r="D1093" s="131"/>
      <c r="E1093" s="130"/>
      <c r="F1093" s="130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</row>
    <row r="1094" ht="12.75" customHeight="1">
      <c r="A1094" s="130"/>
      <c r="B1094" s="130"/>
      <c r="C1094" s="130"/>
      <c r="D1094" s="131"/>
      <c r="E1094" s="130"/>
      <c r="F1094" s="130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</row>
    <row r="1095" ht="12.75" customHeight="1">
      <c r="A1095" s="130"/>
      <c r="B1095" s="130"/>
      <c r="C1095" s="130"/>
      <c r="D1095" s="131"/>
      <c r="E1095" s="130"/>
      <c r="F1095" s="130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</row>
    <row r="1096" ht="12.75" customHeight="1">
      <c r="A1096" s="130"/>
      <c r="B1096" s="130"/>
      <c r="C1096" s="130"/>
      <c r="D1096" s="131"/>
      <c r="E1096" s="130"/>
      <c r="F1096" s="130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</row>
    <row r="1097" ht="12.75" customHeight="1">
      <c r="A1097" s="130"/>
      <c r="B1097" s="130"/>
      <c r="C1097" s="130"/>
      <c r="D1097" s="131"/>
      <c r="E1097" s="130"/>
      <c r="F1097" s="130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</row>
    <row r="1098" ht="12.75" customHeight="1">
      <c r="A1098" s="130"/>
      <c r="B1098" s="130"/>
      <c r="C1098" s="130"/>
      <c r="D1098" s="131"/>
      <c r="E1098" s="130"/>
      <c r="F1098" s="130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</row>
    <row r="1099" ht="12.75" customHeight="1">
      <c r="A1099" s="130"/>
      <c r="B1099" s="130"/>
      <c r="C1099" s="130"/>
      <c r="D1099" s="131"/>
      <c r="E1099" s="130"/>
      <c r="F1099" s="130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</row>
    <row r="1100" ht="12.75" customHeight="1">
      <c r="A1100" s="130"/>
      <c r="B1100" s="130"/>
      <c r="C1100" s="130"/>
      <c r="D1100" s="131"/>
      <c r="E1100" s="130"/>
      <c r="F1100" s="130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</row>
    <row r="1101" ht="12.75" customHeight="1">
      <c r="A1101" s="130"/>
      <c r="B1101" s="130"/>
      <c r="C1101" s="130"/>
      <c r="D1101" s="131"/>
      <c r="E1101" s="130"/>
      <c r="F1101" s="130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</row>
    <row r="1102" ht="12.75" customHeight="1">
      <c r="A1102" s="130"/>
      <c r="B1102" s="130"/>
      <c r="C1102" s="130"/>
      <c r="D1102" s="131"/>
      <c r="E1102" s="130"/>
      <c r="F1102" s="130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</row>
    <row r="1103" ht="12.75" customHeight="1">
      <c r="A1103" s="130"/>
      <c r="B1103" s="130"/>
      <c r="C1103" s="130"/>
      <c r="D1103" s="131"/>
      <c r="E1103" s="130"/>
      <c r="F1103" s="130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</row>
    <row r="1104" ht="12.75" customHeight="1">
      <c r="A1104" s="130"/>
      <c r="B1104" s="130"/>
      <c r="C1104" s="130"/>
      <c r="D1104" s="131"/>
      <c r="E1104" s="130"/>
      <c r="F1104" s="130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</row>
    <row r="1105" ht="12.75" customHeight="1">
      <c r="A1105" s="130"/>
      <c r="B1105" s="130"/>
      <c r="C1105" s="130"/>
      <c r="D1105" s="131"/>
      <c r="E1105" s="130"/>
      <c r="F1105" s="130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</row>
    <row r="1106" ht="12.75" customHeight="1">
      <c r="A1106" s="130"/>
      <c r="B1106" s="130"/>
      <c r="C1106" s="130"/>
      <c r="D1106" s="131"/>
      <c r="E1106" s="130"/>
      <c r="F1106" s="130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</row>
    <row r="1107" ht="12.75" customHeight="1">
      <c r="A1107" s="130"/>
      <c r="B1107" s="130"/>
      <c r="C1107" s="130"/>
      <c r="D1107" s="131"/>
      <c r="E1107" s="130"/>
      <c r="F1107" s="130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</row>
    <row r="1108" ht="12.75" customHeight="1">
      <c r="A1108" s="130"/>
      <c r="B1108" s="130"/>
      <c r="C1108" s="130"/>
      <c r="D1108" s="131"/>
      <c r="E1108" s="130"/>
      <c r="F1108" s="130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</row>
    <row r="1109" ht="12.75" customHeight="1">
      <c r="A1109" s="130"/>
      <c r="B1109" s="130"/>
      <c r="C1109" s="130"/>
      <c r="D1109" s="131"/>
      <c r="E1109" s="130"/>
      <c r="F1109" s="130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</row>
    <row r="1110" ht="12.75" customHeight="1">
      <c r="A1110" s="130"/>
      <c r="B1110" s="130"/>
      <c r="C1110" s="130"/>
      <c r="D1110" s="131"/>
      <c r="E1110" s="130"/>
      <c r="F1110" s="130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</row>
    <row r="1111" ht="12.75" customHeight="1">
      <c r="A1111" s="130"/>
      <c r="B1111" s="130"/>
      <c r="C1111" s="130"/>
      <c r="D1111" s="131"/>
      <c r="E1111" s="130"/>
      <c r="F1111" s="130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</row>
    <row r="1112" ht="12.75" customHeight="1">
      <c r="A1112" s="130"/>
      <c r="B1112" s="130"/>
      <c r="C1112" s="130"/>
      <c r="D1112" s="131"/>
      <c r="E1112" s="130"/>
      <c r="F1112" s="130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</row>
    <row r="1113" ht="12.75" customHeight="1">
      <c r="A1113" s="130"/>
      <c r="B1113" s="130"/>
      <c r="C1113" s="130"/>
      <c r="D1113" s="131"/>
      <c r="E1113" s="130"/>
      <c r="F1113" s="130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</row>
    <row r="1114" ht="12.75" customHeight="1">
      <c r="A1114" s="130"/>
      <c r="B1114" s="130"/>
      <c r="C1114" s="130"/>
      <c r="D1114" s="131"/>
      <c r="E1114" s="130"/>
      <c r="F1114" s="130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</row>
    <row r="1115" ht="12.75" customHeight="1">
      <c r="A1115" s="130"/>
      <c r="B1115" s="130"/>
      <c r="C1115" s="130"/>
      <c r="D1115" s="131"/>
      <c r="E1115" s="130"/>
      <c r="F1115" s="130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</row>
    <row r="1116" ht="12.75" customHeight="1">
      <c r="A1116" s="130"/>
      <c r="B1116" s="130"/>
      <c r="C1116" s="130"/>
      <c r="D1116" s="131"/>
      <c r="E1116" s="130"/>
      <c r="F1116" s="130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</row>
    <row r="1117" ht="12.75" customHeight="1">
      <c r="A1117" s="130"/>
      <c r="B1117" s="130"/>
      <c r="C1117" s="130"/>
      <c r="D1117" s="131"/>
      <c r="E1117" s="130"/>
      <c r="F1117" s="130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</row>
    <row r="1118" ht="12.75" customHeight="1">
      <c r="A1118" s="130"/>
      <c r="B1118" s="130"/>
      <c r="C1118" s="130"/>
      <c r="D1118" s="131"/>
      <c r="E1118" s="130"/>
      <c r="F1118" s="130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</row>
    <row r="1119" ht="12.75" customHeight="1">
      <c r="A1119" s="130"/>
      <c r="B1119" s="130"/>
      <c r="C1119" s="130"/>
      <c r="D1119" s="131"/>
      <c r="E1119" s="130"/>
      <c r="F1119" s="130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</row>
    <row r="1120" ht="12.75" customHeight="1">
      <c r="A1120" s="130"/>
      <c r="B1120" s="130"/>
      <c r="C1120" s="130"/>
      <c r="D1120" s="131"/>
      <c r="E1120" s="130"/>
      <c r="F1120" s="130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</row>
    <row r="1121" ht="12.75" customHeight="1">
      <c r="A1121" s="130"/>
      <c r="B1121" s="130"/>
      <c r="C1121" s="130"/>
      <c r="D1121" s="131"/>
      <c r="E1121" s="130"/>
      <c r="F1121" s="130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</row>
    <row r="1122" ht="12.75" customHeight="1">
      <c r="A1122" s="130"/>
      <c r="B1122" s="130"/>
      <c r="C1122" s="130"/>
      <c r="D1122" s="131"/>
      <c r="E1122" s="130"/>
      <c r="F1122" s="130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</row>
    <row r="1123" ht="12.75" customHeight="1">
      <c r="A1123" s="130"/>
      <c r="B1123" s="130"/>
      <c r="C1123" s="130"/>
      <c r="D1123" s="131"/>
      <c r="E1123" s="130"/>
      <c r="F1123" s="130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</row>
    <row r="1124" ht="12.75" customHeight="1">
      <c r="A1124" s="130"/>
      <c r="B1124" s="130"/>
      <c r="C1124" s="130"/>
      <c r="D1124" s="131"/>
      <c r="E1124" s="130"/>
      <c r="F1124" s="130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</row>
    <row r="1125" ht="12.75" customHeight="1">
      <c r="A1125" s="130"/>
      <c r="B1125" s="130"/>
      <c r="C1125" s="130"/>
      <c r="D1125" s="131"/>
      <c r="E1125" s="130"/>
      <c r="F1125" s="130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</row>
    <row r="1126" ht="12.75" customHeight="1">
      <c r="A1126" s="130"/>
      <c r="B1126" s="130"/>
      <c r="C1126" s="130"/>
      <c r="D1126" s="131"/>
      <c r="E1126" s="130"/>
      <c r="F1126" s="130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</row>
    <row r="1127" ht="12.75" customHeight="1">
      <c r="A1127" s="130"/>
      <c r="B1127" s="130"/>
      <c r="C1127" s="130"/>
      <c r="D1127" s="131"/>
      <c r="E1127" s="130"/>
      <c r="F1127" s="130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</row>
    <row r="1128" ht="12.75" customHeight="1">
      <c r="A1128" s="130"/>
      <c r="B1128" s="130"/>
      <c r="C1128" s="130"/>
      <c r="D1128" s="131"/>
      <c r="E1128" s="130"/>
      <c r="F1128" s="130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</row>
    <row r="1129" ht="12.75" customHeight="1">
      <c r="A1129" s="130"/>
      <c r="B1129" s="130"/>
      <c r="C1129" s="130"/>
      <c r="D1129" s="131"/>
      <c r="E1129" s="130"/>
      <c r="F1129" s="130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34" t="s">
        <v>74</v>
      </c>
      <c r="B1" s="134" t="s">
        <v>75</v>
      </c>
      <c r="C1" s="134" t="s">
        <v>29</v>
      </c>
      <c r="D1" s="134" t="s">
        <v>76</v>
      </c>
      <c r="E1" s="134" t="s">
        <v>0</v>
      </c>
      <c r="F1" s="134" t="s">
        <v>77</v>
      </c>
      <c r="G1" s="134" t="s">
        <v>78</v>
      </c>
      <c r="H1" s="134" t="s">
        <v>79</v>
      </c>
      <c r="I1" s="134" t="s">
        <v>80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>
      <c r="A2" s="136" t="s">
        <v>81</v>
      </c>
      <c r="B2" s="136" t="s">
        <v>82</v>
      </c>
      <c r="C2" s="136" t="s">
        <v>83</v>
      </c>
      <c r="D2" s="137">
        <v>46178.0</v>
      </c>
      <c r="E2" s="136">
        <v>1566.0</v>
      </c>
      <c r="F2" s="136" t="s">
        <v>84</v>
      </c>
      <c r="G2" s="136" t="s">
        <v>85</v>
      </c>
      <c r="H2" s="136" t="s">
        <v>86</v>
      </c>
      <c r="I2" s="136" t="s">
        <v>58</v>
      </c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>
      <c r="A3" s="136" t="s">
        <v>87</v>
      </c>
      <c r="B3" s="136" t="s">
        <v>88</v>
      </c>
      <c r="C3" s="136" t="s">
        <v>83</v>
      </c>
      <c r="D3" s="137">
        <v>46172.0</v>
      </c>
      <c r="E3" s="136">
        <v>1544.0</v>
      </c>
      <c r="F3" s="136" t="s">
        <v>84</v>
      </c>
      <c r="G3" s="136" t="s">
        <v>89</v>
      </c>
      <c r="H3" s="136" t="s">
        <v>90</v>
      </c>
      <c r="I3" s="136" t="s">
        <v>91</v>
      </c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</row>
    <row r="4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</row>
    <row r="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</row>
    <row r="10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</row>
  </sheetData>
  <drawing r:id="rId1"/>
</worksheet>
</file>