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<sst xmlns="http://schemas.openxmlformats.org/spreadsheetml/2006/main" count="5339" uniqueCount="143">
  <si>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</si>
  <si>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</si>
  <si>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</si>
  <si>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</si>
  <si>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</si>
  <si>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</si>
  <si>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</si>
  <si>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</si>
  <si>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</si>
  <si>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</si>
  <si>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</si>
  <si>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</si>
  <si>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</si>
  <si>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</si>
  <si>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</si>
  <si>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</si>
  <si>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</si>
  <si>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</si>
  <si>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</si>
  <si>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</si>
  <si>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</si>
  <si>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</si>
  <si>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</si>
  <si>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</si>
  <si>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</si>
  <si>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</si>
  <si>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</si>
  <si>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</si>
  <si>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Melissa Elam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</si>
  <si>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</si>
  <si>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</si>
  <si>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</si>
  <si>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</si>
  <si>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</si>
  <si>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</si>
  <si>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</si>
  <si>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</si>
  <si>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</si>
  <si>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</si>
  <si>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</si>
  <si>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</si>
  <si>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</si>
  <si>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</si>
  <si>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</si>
  <si>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</si>
  <si>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</si>
  <si>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</si>
  <si>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</si>
  <si>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</si>
  <si>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</si>
  <si>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</si>
  <si>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</si>
  <si>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</si>
  <si>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</si>
  <si>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</si>
  <si>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</si>
  <si>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</si>
  <si>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</si>
  <si>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 xml:space="preserve">Marcus Norton </t>
  </si>
  <si>
    <t>CO</t>
  </si>
  <si>
    <t>Marcus Norton</t>
  </si>
  <si>
    <t>Kaliyah Pyles</t>
  </si>
  <si>
    <t>Ethan Lasley</t>
  </si>
  <si>
    <t>Keith Chmiel</t>
  </si>
  <si>
    <t>TX</t>
  </si>
  <si>
    <t>Veronica Sanchez</t>
  </si>
  <si>
    <t>MS</t>
  </si>
  <si>
    <t>Ronald Montoya</t>
  </si>
  <si>
    <t>Nathan Fast</t>
  </si>
  <si>
    <t>Danielle Loux</t>
  </si>
  <si>
    <t>MO</t>
  </si>
  <si>
    <t>Frances Gonzalez</t>
  </si>
  <si>
    <t>Lacie Herring</t>
  </si>
  <si>
    <t>Tiera Williams</t>
  </si>
  <si>
    <t>TN</t>
  </si>
  <si>
    <t>Preston Opperman</t>
  </si>
  <si>
    <t>Bilal Abdullah</t>
  </si>
  <si>
    <t>Kain White-Conley</t>
  </si>
  <si>
    <t>NH</t>
  </si>
  <si>
    <t>Cheri DiPiero</t>
  </si>
  <si>
    <t>Regina Gumma</t>
  </si>
  <si>
    <t>Andre Alire</t>
  </si>
  <si>
    <t>Kelvin Claney</t>
  </si>
  <si>
    <t>Jacob Bandyk</t>
  </si>
  <si>
    <t>Kristen Fox</t>
  </si>
  <si>
    <t>NC</t>
  </si>
  <si>
    <t>Marci Dyer</t>
  </si>
  <si>
    <t>Joylynn Harris</t>
  </si>
  <si>
    <t>Shafay Sutton</t>
  </si>
  <si>
    <t>IL</t>
  </si>
  <si>
    <t>Michael Hall</t>
  </si>
  <si>
    <t>NY</t>
  </si>
  <si>
    <t>Dylan Alexander</t>
  </si>
  <si>
    <t>Kisha Darby</t>
  </si>
  <si>
    <t>Michael Dolin</t>
  </si>
  <si>
    <t>Toel Jefferson</t>
  </si>
  <si>
    <t>Zev Bienenstock</t>
  </si>
  <si>
    <t>Marie Cano</t>
  </si>
  <si>
    <t>Jordan McFarlane</t>
  </si>
  <si>
    <t>LaToya Clark</t>
  </si>
  <si>
    <t>SC</t>
  </si>
  <si>
    <t>William Benline</t>
  </si>
  <si>
    <t>Ken Hermann</t>
  </si>
  <si>
    <t>Marci Joy Clark</t>
  </si>
  <si>
    <t>Emmy Phipps</t>
  </si>
  <si>
    <t>Sasha Blake</t>
  </si>
  <si>
    <t>Annie Ransom</t>
  </si>
  <si>
    <t>OR</t>
  </si>
  <si>
    <t>Caroline Sanazaro</t>
  </si>
  <si>
    <t>O'Neil Mbakwe</t>
  </si>
  <si>
    <t>Hillary Tucker</t>
  </si>
  <si>
    <t>Alexa Legg</t>
  </si>
  <si>
    <t>IN</t>
  </si>
  <si>
    <t>Nataly Vargas</t>
  </si>
  <si>
    <t>Berlin Iwai</t>
  </si>
  <si>
    <t>Kendall Stowers</t>
  </si>
  <si>
    <t>Crystal Mekdarasack</t>
  </si>
  <si>
    <t>Brad Word</t>
  </si>
  <si>
    <t>Ivander Ambriz</t>
  </si>
  <si>
    <t>Michael Boyd</t>
  </si>
  <si>
    <t>Wendy Huber</t>
  </si>
  <si>
    <t>FL</t>
  </si>
  <si>
    <t>Alissa Charles</t>
  </si>
  <si>
    <t>VA</t>
  </si>
  <si>
    <t>Tasheka Hill</t>
  </si>
  <si>
    <t>Jennifer Munson</t>
  </si>
  <si>
    <t>Bryanna Wagner</t>
  </si>
  <si>
    <t>WI</t>
  </si>
  <si>
    <t>Juan Ortega</t>
  </si>
  <si>
    <t>Benjamin Duffey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</si>
  <si>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</si>
  <si>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</si>
  <si>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</si>
  <si>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</si>
  <si>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</si>
  <si>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</si>
  <si>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</si>
  <si>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JOSEPH AND MARIE RILEY</t>
  </si>
  <si>
    <t>KEITH CHMIEL</t>
  </si>
  <si>
    <t>GOJCAJ</t>
  </si>
  <si>
    <t>N/A</t>
  </si>
  <si>
    <t>YES</t>
  </si>
  <si>
    <t>REWRITING TO DRAFT FIRST WK OF MAY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</si>
</sst>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24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color theme="1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7" fillId="4" fontId="2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2" numFmtId="9" xfId="0" applyAlignment="1" applyBorder="1" applyFont="1" applyNumberFormat="1">
      <alignment vertical="center"/>
    </xf>
    <xf borderId="7" fillId="4" fontId="4" numFmtId="164" xfId="0" applyAlignment="1" applyBorder="1" applyFont="1" applyNumberFormat="1">
      <alignment horizontal="right" vertical="center"/>
    </xf>
    <xf borderId="8" fillId="4" fontId="2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5" fillId="0" fontId="7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2" numFmtId="0" xfId="0" applyAlignment="1" applyBorder="1" applyFont="1">
      <alignment shrinkToFit="0" vertical="center" wrapText="1"/>
    </xf>
    <xf borderId="16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7" fillId="4" fontId="2" numFmtId="0" xfId="0" applyAlignment="1" applyBorder="1" applyFont="1">
      <alignment vertical="center"/>
    </xf>
    <xf borderId="18" fillId="0" fontId="4" numFmtId="0" xfId="0" applyAlignment="1" applyBorder="1" applyFont="1">
      <alignment readingOrder="0" vertical="center"/>
    </xf>
    <xf borderId="4" fillId="0" fontId="4" numFmtId="0" xfId="0" applyAlignment="1" applyBorder="1" applyFont="1">
      <alignment readingOrder="0" vertical="center"/>
    </xf>
    <xf borderId="12" fillId="0" fontId="4" numFmtId="0" xfId="0" applyAlignment="1" applyBorder="1" applyFont="1">
      <alignment horizontal="right" shrinkToFit="0" vertical="center" wrapText="1"/>
    </xf>
    <xf borderId="16" fillId="5" fontId="2" numFmtId="0" xfId="0" applyAlignment="1" applyBorder="1" applyFont="1">
      <alignment vertical="center"/>
    </xf>
    <xf borderId="16" fillId="4" fontId="2" numFmtId="0" xfId="0" applyAlignment="1" applyBorder="1" applyFont="1">
      <alignment vertical="center"/>
    </xf>
    <xf borderId="5" fillId="3" fontId="3" numFmtId="1" xfId="0" applyAlignment="1" applyBorder="1" applyFont="1" applyNumberFormat="1">
      <alignment horizontal="right"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19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shrinkToFit="0" vertical="center" wrapText="1"/>
    </xf>
    <xf borderId="20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shrinkToFit="0" vertical="center" wrapText="1"/>
    </xf>
    <xf borderId="16" fillId="2" fontId="8" numFmtId="0" xfId="0" applyAlignment="1" applyBorder="1" applyFont="1">
      <alignment horizontal="center" readingOrder="0" shrinkToFit="0" vertical="center" wrapText="1"/>
    </xf>
    <xf borderId="16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21" fillId="5" fontId="11" numFmtId="0" xfId="0" applyAlignment="1" applyBorder="1" applyFont="1">
      <alignment readingOrder="0" shrinkToFit="0" vertical="bottom" wrapText="1"/>
    </xf>
    <xf borderId="20" fillId="5" fontId="11" numFmtId="0" xfId="0" applyAlignment="1" applyBorder="1" applyFont="1">
      <alignment vertical="bottom"/>
    </xf>
    <xf borderId="20" fillId="5" fontId="11" numFmtId="0" xfId="0" applyAlignment="1" applyBorder="1" applyFont="1">
      <alignment shrinkToFit="0" vertical="bottom" wrapText="1"/>
    </xf>
    <xf borderId="20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0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readingOrder="0" shrinkToFit="0" vertical="bottom" wrapText="1"/>
    </xf>
    <xf borderId="20" fillId="3" fontId="13" numFmtId="0" xfId="0" applyAlignment="1" applyBorder="1" applyFont="1">
      <alignment vertical="bottom"/>
    </xf>
    <xf borderId="20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0" fillId="5" fontId="11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bottom" wrapText="1"/>
    </xf>
    <xf borderId="16" fillId="4" fontId="12" numFmtId="0" xfId="0" applyAlignment="1" applyBorder="1" applyFont="1">
      <alignment readingOrder="0" shrinkToFit="0" vertical="bottom" wrapText="1"/>
    </xf>
    <xf borderId="20" fillId="4" fontId="12" numFmtId="0" xfId="0" applyAlignment="1" applyBorder="1" applyFont="1">
      <alignment readingOrder="0" shrinkToFit="0" vertical="center" wrapText="1"/>
    </xf>
    <xf borderId="20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6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readingOrder="0" shrinkToFit="0" vertical="bottom" wrapText="1"/>
    </xf>
    <xf borderId="20" fillId="4" fontId="11" numFmtId="0" xfId="0" applyAlignment="1" applyBorder="1" applyFont="1">
      <alignment shrinkToFit="0" vertical="bottom" wrapText="1"/>
    </xf>
    <xf borderId="21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shrinkToFit="0" vertical="bottom" wrapText="1"/>
    </xf>
    <xf borderId="20" fillId="3" fontId="13" numFmtId="0" xfId="0" applyAlignment="1" applyBorder="1" applyFont="1">
      <alignment readingOrder="0" vertical="center"/>
    </xf>
    <xf borderId="20" fillId="3" fontId="13" numFmtId="0" xfId="0" applyAlignment="1" applyBorder="1" applyFont="1">
      <alignment shrinkToFit="0" vertical="center" wrapText="1"/>
    </xf>
    <xf borderId="21" fillId="0" fontId="11" numFmtId="0" xfId="0" applyAlignment="1" applyBorder="1" applyFont="1">
      <alignment shrinkToFit="0" vertical="bottom" wrapText="1"/>
    </xf>
    <xf borderId="20" fillId="0" fontId="11" numFmtId="0" xfId="0" applyAlignment="1" applyBorder="1" applyFont="1">
      <alignment readingOrder="0" shrinkToFit="0" vertical="bottom" wrapText="1"/>
    </xf>
    <xf borderId="20" fillId="0" fontId="11" numFmtId="0" xfId="0" applyAlignment="1" applyBorder="1" applyFont="1">
      <alignment vertical="bottom"/>
    </xf>
    <xf borderId="21" fillId="4" fontId="12" numFmtId="0" xfId="0" applyAlignment="1" applyBorder="1" applyFont="1">
      <alignment shrinkToFit="0" vertical="bottom" wrapText="1"/>
    </xf>
    <xf borderId="20" fillId="4" fontId="12" numFmtId="0" xfId="0" applyAlignment="1" applyBorder="1" applyFont="1">
      <alignment readingOrder="0" vertical="bottom"/>
    </xf>
    <xf borderId="21" fillId="4" fontId="11" numFmtId="0" xfId="0" applyAlignment="1" applyBorder="1" applyFont="1">
      <alignment shrinkToFit="0" vertical="bottom" wrapText="1"/>
    </xf>
    <xf borderId="20" fillId="4" fontId="11" numFmtId="0" xfId="0" applyAlignment="1" applyBorder="1" applyFont="1">
      <alignment vertical="bottom"/>
    </xf>
    <xf borderId="21" fillId="0" fontId="12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shrinkToFit="0" vertical="bottom" wrapText="1"/>
    </xf>
    <xf borderId="20" fillId="0" fontId="12" numFmtId="0" xfId="0" applyAlignment="1" applyBorder="1" applyFont="1">
      <alignment shrinkToFit="0" vertical="bottom" wrapText="1"/>
    </xf>
    <xf borderId="21" fillId="3" fontId="14" numFmtId="0" xfId="0" applyAlignment="1" applyBorder="1" applyFont="1">
      <alignment shrinkToFit="0" vertical="bottom" wrapText="1"/>
    </xf>
    <xf borderId="20" fillId="3" fontId="15" numFmtId="0" xfId="0" applyAlignment="1" applyBorder="1" applyFont="1">
      <alignment vertical="bottom"/>
    </xf>
    <xf borderId="16" fillId="0" fontId="11" numFmtId="0" xfId="0" applyAlignment="1" applyBorder="1" applyFont="1">
      <alignment readingOrder="0" shrinkToFit="0" vertical="bottom" wrapText="1"/>
    </xf>
    <xf borderId="16" fillId="0" fontId="12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vertical="bottom"/>
    </xf>
    <xf borderId="20" fillId="0" fontId="16" numFmtId="0" xfId="0" applyAlignment="1" applyBorder="1" applyFont="1">
      <alignment shrinkToFit="0" vertical="bottom" wrapText="1"/>
    </xf>
    <xf borderId="20" fillId="4" fontId="17" numFmtId="0" xfId="0" applyAlignment="1" applyBorder="1" applyFont="1">
      <alignment readingOrder="0" vertical="bottom"/>
    </xf>
    <xf borderId="16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0" fillId="4" fontId="1" numFmtId="0" xfId="0" applyAlignment="1" applyBorder="1" applyFont="1">
      <alignment vertical="bottom"/>
    </xf>
    <xf borderId="20" fillId="5" fontId="17" numFmtId="0" xfId="0" applyAlignment="1" applyBorder="1" applyFont="1">
      <alignment readingOrder="0" vertical="bottom"/>
    </xf>
    <xf borderId="20" fillId="5" fontId="1" numFmtId="0" xfId="0" applyAlignment="1" applyBorder="1" applyFont="1">
      <alignment vertical="bottom"/>
    </xf>
    <xf borderId="21" fillId="0" fontId="16" numFmtId="0" xfId="0" applyAlignment="1" applyBorder="1" applyFont="1">
      <alignment readingOrder="0" shrinkToFit="0" vertical="bottom" wrapText="1"/>
    </xf>
    <xf borderId="20" fillId="0" fontId="16" numFmtId="0" xfId="0" applyAlignment="1" applyBorder="1" applyFont="1">
      <alignment readingOrder="0" vertical="bottom"/>
    </xf>
    <xf borderId="20" fillId="0" fontId="11" numFmtId="0" xfId="0" applyAlignment="1" applyBorder="1" applyFont="1">
      <alignment shrinkToFit="0" vertical="bottom" wrapText="1"/>
    </xf>
    <xf borderId="20" fillId="0" fontId="12" numFmtId="0" xfId="0" applyAlignment="1" applyBorder="1" applyFont="1">
      <alignment readingOrder="0" vertical="bottom"/>
    </xf>
    <xf borderId="20" fillId="0" fontId="12" numFmtId="0" xfId="0" applyAlignment="1" applyBorder="1" applyFont="1">
      <alignment shrinkToFit="0" vertical="center" wrapText="1"/>
    </xf>
    <xf borderId="20" fillId="0" fontId="12" numFmtId="0" xfId="0" applyAlignment="1" applyBorder="1" applyFont="1">
      <alignment shrinkToFit="0" vertical="center" wrapText="1"/>
    </xf>
    <xf borderId="20" fillId="0" fontId="11" numFmtId="0" xfId="0" applyAlignment="1" applyBorder="1" applyFont="1">
      <alignment shrinkToFit="0" vertical="center" wrapText="1"/>
    </xf>
    <xf borderId="20" fillId="4" fontId="12" numFmtId="0" xfId="0" applyAlignment="1" applyBorder="1" applyFont="1">
      <alignment shrinkToFit="0" vertical="center" wrapText="1"/>
    </xf>
    <xf borderId="20" fillId="4" fontId="11" numFmtId="0" xfId="0" applyAlignment="1" applyBorder="1" applyFont="1">
      <alignment shrinkToFit="0" vertical="center" wrapText="1"/>
    </xf>
    <xf borderId="20" fillId="4" fontId="1" numFmtId="0" xfId="0" applyAlignment="1" applyBorder="1" applyFont="1">
      <alignment vertical="center"/>
    </xf>
    <xf borderId="20" fillId="4" fontId="11" numFmtId="0" xfId="0" applyAlignment="1" applyBorder="1" applyFont="1">
      <alignment readingOrder="0" shrinkToFit="0" vertical="center" wrapText="1"/>
    </xf>
    <xf borderId="20" fillId="0" fontId="17" numFmtId="0" xfId="0" applyAlignment="1" applyBorder="1" applyFont="1">
      <alignment readingOrder="0" vertical="bottom"/>
    </xf>
    <xf borderId="20" fillId="0" fontId="1" numFmtId="0" xfId="0" applyAlignment="1" applyBorder="1" applyFont="1">
      <alignment vertical="bottom"/>
    </xf>
    <xf borderId="20" fillId="5" fontId="18" numFmtId="0" xfId="0" applyAlignment="1" applyBorder="1" applyFont="1">
      <alignment readingOrder="0" vertical="bottom"/>
    </xf>
    <xf borderId="20" fillId="5" fontId="19" numFmtId="0" xfId="0" applyAlignment="1" applyBorder="1" applyFont="1">
      <alignment vertical="bottom"/>
    </xf>
    <xf borderId="20" fillId="5" fontId="20" numFmtId="0" xfId="0" applyAlignment="1" applyBorder="1" applyFont="1">
      <alignment readingOrder="0" vertical="bottom"/>
    </xf>
    <xf borderId="20" fillId="0" fontId="20" numFmtId="0" xfId="0" applyAlignment="1" applyBorder="1" applyFont="1">
      <alignment readingOrder="0" vertical="bottom"/>
    </xf>
    <xf borderId="20" fillId="0" fontId="19" numFmtId="0" xfId="0" applyAlignment="1" applyBorder="1" applyFont="1">
      <alignment vertical="bottom"/>
    </xf>
    <xf borderId="20" fillId="4" fontId="18" numFmtId="0" xfId="0" applyAlignment="1" applyBorder="1" applyFont="1">
      <alignment readingOrder="0" vertical="bottom"/>
    </xf>
    <xf borderId="20" fillId="4" fontId="21" numFmtId="0" xfId="0" applyAlignment="1" applyBorder="1" applyFont="1">
      <alignment vertical="bottom"/>
    </xf>
    <xf borderId="20" fillId="4" fontId="21" numFmtId="0" xfId="0" applyAlignment="1" applyBorder="1" applyFont="1">
      <alignment readingOrder="0" vertical="bottom"/>
    </xf>
    <xf borderId="20" fillId="4" fontId="20" numFmtId="0" xfId="0" applyAlignment="1" applyBorder="1" applyFont="1">
      <alignment readingOrder="0" vertical="bottom"/>
    </xf>
    <xf borderId="20" fillId="4" fontId="19" numFmtId="0" xfId="0" applyAlignment="1" applyBorder="1" applyFont="1">
      <alignment vertical="bottom"/>
    </xf>
    <xf borderId="20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16" fillId="6" fontId="9" numFmtId="9" xfId="0" applyAlignment="1" applyBorder="1" applyFont="1" applyNumberFormat="1">
      <alignment horizontal="right" readingOrder="0" vertical="center"/>
    </xf>
    <xf borderId="20" fillId="6" fontId="2" numFmtId="9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21794.88</v>
      </c>
      <c r="D2" s="10"/>
      <c r="E2" s="11">
        <f t="shared" ref="E2:R2" si="1">SUM(E5,E20,E23,E26,E29,E32)</f>
        <v>2829</v>
      </c>
      <c r="F2" s="11" t="str">
        <f t="shared" si="1"/>
        <v>#VALUE!</v>
      </c>
      <c r="G2" s="11" t="str">
        <f t="shared" si="1"/>
        <v>#VALUE!</v>
      </c>
      <c r="H2" s="11" t="str">
        <f t="shared" si="1"/>
        <v>#VALUE!</v>
      </c>
      <c r="I2" s="11" t="str">
        <f t="shared" si="1"/>
        <v>#VALUE!</v>
      </c>
      <c r="J2" s="11" t="str">
        <f t="shared" si="1"/>
        <v>#VALUE!</v>
      </c>
      <c r="K2" s="11" t="str">
        <f t="shared" si="1"/>
        <v>#VALUE!</v>
      </c>
      <c r="L2" s="11" t="str">
        <f t="shared" si="1"/>
        <v>#VALUE!</v>
      </c>
      <c r="M2" s="11" t="str">
        <f t="shared" si="1"/>
        <v>#VALUE!</v>
      </c>
      <c r="N2" s="11" t="str">
        <f t="shared" si="1"/>
        <v>#VALUE!</v>
      </c>
      <c r="O2" s="11" t="str">
        <f t="shared" si="1"/>
        <v>#VALUE!</v>
      </c>
      <c r="P2" s="11" t="str">
        <f t="shared" si="1"/>
        <v>#VALUE!</v>
      </c>
      <c r="Q2" s="11" t="str">
        <f t="shared" si="1"/>
        <v>#VALUE!</v>
      </c>
      <c r="R2" s="11" t="str">
        <f t="shared" si="1"/>
        <v>#VALUE!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315.8678261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3566.88</v>
      </c>
      <c r="D5" s="31"/>
      <c r="E5" s="32">
        <f>SUMIFS(T:T,A:A,B5,D:D,"Y")</f>
        <v>297</v>
      </c>
      <c r="F5" s="11">
        <f>SUMIF(A:A,B5,G:G)</f>
        <v>24</v>
      </c>
      <c r="G5" s="11">
        <f>SUMIF(A:A,B5,H:H)</f>
        <v>13</v>
      </c>
      <c r="H5" s="11">
        <f>SUMIF(A:A,B5,I:I)</f>
        <v>4</v>
      </c>
      <c r="I5" s="11">
        <f>SUMIF(A:A,B5,P:P)</f>
        <v>0</v>
      </c>
      <c r="J5" s="11">
        <f>SUMIF(A:A,B5,Q:Q)</f>
        <v>0</v>
      </c>
      <c r="K5" s="11">
        <f>SUMIF(A:A,B5,R:R)</f>
        <v>1</v>
      </c>
      <c r="L5" s="11">
        <f>SUMIF(A:A,B5,S:S)</f>
        <v>0</v>
      </c>
      <c r="M5" s="11">
        <f>SUMIF(A:A,B5,M:M)</f>
        <v>28</v>
      </c>
      <c r="N5" s="11">
        <f>SUMIF(A:A,B5,N:N)</f>
        <v>8</v>
      </c>
      <c r="O5" s="11">
        <f>SUMIF(A:A,B5,O:O)</f>
        <v>3</v>
      </c>
      <c r="P5" s="11">
        <f>SUMIF(A:A,B5,J:J)</f>
        <v>3</v>
      </c>
      <c r="Q5" s="11">
        <f>SUMIF(A:A,B5,K:K)</f>
        <v>1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891.72</v>
      </c>
      <c r="F7" s="41">
        <f>IFERROR((G5+R5)/F5,0)</f>
        <v>0.5833333333</v>
      </c>
      <c r="G7" s="41">
        <f>IFERROR(H5/G5,0)</f>
        <v>0.3076923077</v>
      </c>
      <c r="H7" s="40">
        <f>(C5/C7)</f>
        <v>137.1876923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</v>
      </c>
      <c r="N7" s="42"/>
      <c r="O7" s="41">
        <f>IFERROR(O5/N5,0)</f>
        <v>0.375</v>
      </c>
      <c r="P7" s="43"/>
      <c r="Q7" s="41">
        <f>IFERROR(Q5/P5,0)</f>
        <v>0.3333333333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SUMIF(B38:B1090,B8,G38:G1090)</f>
        <v>0</v>
      </c>
      <c r="G8" s="51">
        <f>SUMIF(B38:B1090,B8,H38:H1090)</f>
        <v>0</v>
      </c>
      <c r="H8" s="51">
        <f>SUMIF(B38:B1090,B8,I38:I1090)</f>
        <v>0</v>
      </c>
      <c r="I8" s="51">
        <f>SUMIF(B38:B1090,B8,P38:P1090)</f>
        <v>0</v>
      </c>
      <c r="J8" s="51">
        <f>SUMIF(B38:B1090,B8,Q38:Q1090)</f>
        <v>0</v>
      </c>
      <c r="K8" s="51">
        <f>SUMIF(B38:B1090,B8,R38:R1090)</f>
        <v>0</v>
      </c>
      <c r="L8" s="51">
        <f>SUMIF(B38:B1090,B8,S38:S1090)</f>
        <v>0</v>
      </c>
      <c r="M8" s="51">
        <f>SUMIF(B38:B1090,B8,M38:M1090)</f>
        <v>0</v>
      </c>
      <c r="N8" s="51">
        <f>SUMIF(B38:B1090,B8,N38:N1090)</f>
        <v>0</v>
      </c>
      <c r="O8" s="51">
        <f>SUMIF(B38:B1090,B8,O38:O1090)</f>
        <v>0</v>
      </c>
      <c r="P8" s="51">
        <f>SUMIF(B38:B1090,B8,J38:J1090)</f>
        <v>0</v>
      </c>
      <c r="Q8" s="51">
        <f>SUMIF(B38:B1090,B8,K38:K1090)</f>
        <v>0</v>
      </c>
      <c r="R8" s="52">
        <f>SUMIF(B38:B1090,B8,L38:L1090)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COUNTIFS(B38:B1090,B8)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1530</v>
      </c>
      <c r="D11" s="48"/>
      <c r="E11" s="49">
        <f>SUMIFS(T:T,B:B,B11,D:D,"Y")</f>
        <v>297</v>
      </c>
      <c r="F11" s="50">
        <f>SUMIF(B38:B1090,B11,G38:G1090)</f>
        <v>6</v>
      </c>
      <c r="G11" s="51">
        <f>SUMIF(B38:B1090,B11,H38:H1090)</f>
        <v>3</v>
      </c>
      <c r="H11" s="51">
        <f>SUMIF(B38:B1090,B11,I38:I1090)</f>
        <v>2</v>
      </c>
      <c r="I11" s="51">
        <f>SUMIF(B38:B1090,B11,P38:P1090)</f>
        <v>0</v>
      </c>
      <c r="J11" s="51">
        <f>SUMIF(B38:B1090,B11,Q38:Q1090)</f>
        <v>0</v>
      </c>
      <c r="K11" s="51">
        <f>SUMIF(B38:B1090,B11,R38:R1090)</f>
        <v>0</v>
      </c>
      <c r="L11" s="51">
        <f>SUMIF(B38:B1090,B11,S38:S1090)</f>
        <v>0</v>
      </c>
      <c r="M11" s="51">
        <f>SUMIF(B38:B1090,B11,M38:M1090)</f>
        <v>2</v>
      </c>
      <c r="N11" s="51">
        <f>SUMIF(B38:B1090,B11,N38:N1090)</f>
        <v>3</v>
      </c>
      <c r="O11" s="51">
        <f>SUMIF(B38:B1090,B11,O38:O1090)</f>
        <v>2</v>
      </c>
      <c r="P11" s="51">
        <f>SUMIF(B38:B1090,B11,J38:J1090)</f>
        <v>0</v>
      </c>
      <c r="Q11" s="51">
        <f>SUMIF(B38:B1090,B11,K38:K1090)</f>
        <v>0</v>
      </c>
      <c r="R11" s="52">
        <f>SUMIF(B38:B1090,B11,L38:L1090)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COUNTIFS(B38:B1090,B11)</f>
        <v>7</v>
      </c>
      <c r="D13" s="58"/>
      <c r="E13" s="23">
        <f>IFERROR(C11/H11,0)</f>
        <v>765</v>
      </c>
      <c r="F13" s="24">
        <f>IFERROR((G11+R11)/F11,0)</f>
        <v>0.5</v>
      </c>
      <c r="G13" s="24">
        <f>IFERROR(H11/G11,0)</f>
        <v>0.6666666667</v>
      </c>
      <c r="H13" s="23">
        <f>(C11/C13)</f>
        <v>218.5714286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0.6666666667</v>
      </c>
      <c r="N13" s="25"/>
      <c r="O13" s="24">
        <f>IFERROR(O11/N11,0)</f>
        <v>0.6666666667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SUMIF(B39:B1090,B14,G39:G1090)</f>
        <v>0</v>
      </c>
      <c r="G14" s="51">
        <f>SUMIF(B39:B1090,B14,H39:H1090)</f>
        <v>0</v>
      </c>
      <c r="H14" s="51">
        <f>SUMIF(B39:B1090,B14,I39:I1090)</f>
        <v>0</v>
      </c>
      <c r="I14" s="51">
        <f>SUMIF(B39:B1090,B14,P39:P1090)</f>
        <v>0</v>
      </c>
      <c r="J14" s="51">
        <f>SUMIF(B39:B1090,B14,Q39:Q1090)</f>
        <v>0</v>
      </c>
      <c r="K14" s="51">
        <f>SUMIF(B39:B1090,B14,R39:R1090)</f>
        <v>0</v>
      </c>
      <c r="L14" s="51">
        <f>SUMIF(B39:B1090,B14,S39:S1090)</f>
        <v>0</v>
      </c>
      <c r="M14" s="51">
        <f>SUMIF(B39:B1090,B14,M39:M1090)</f>
        <v>0</v>
      </c>
      <c r="N14" s="51">
        <f>SUMIF(B39:B1090,B14,N39:N1090)</f>
        <v>0</v>
      </c>
      <c r="O14" s="51">
        <f>SUMIF(B39:B1090,B14,O39:O1090)</f>
        <v>0</v>
      </c>
      <c r="P14" s="51">
        <f>SUMIF(B39:B1090,B14,J39:J1090)</f>
        <v>0</v>
      </c>
      <c r="Q14" s="51">
        <f>SUMIF(B39:B1090,B14,K39:K1090)</f>
        <v>0</v>
      </c>
      <c r="R14" s="52">
        <f>SUMIF(B39:B1090,B14,L39:L1090)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COUNTIFS(B39:B1090,B14)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2036.88</v>
      </c>
      <c r="D17" s="62"/>
      <c r="E17" s="49">
        <f>SUMIFS(T:T,B:B,B17,D:D,"Y")</f>
        <v>0</v>
      </c>
      <c r="F17" s="50">
        <f>SUMIF(B37:B1090,B17,G37:G1090)</f>
        <v>18</v>
      </c>
      <c r="G17" s="51">
        <f>SUMIF(B37:B1090,B17,H37:H1090)</f>
        <v>10</v>
      </c>
      <c r="H17" s="51">
        <f>SUMIF(B37:B1090,B17,I37:I1090)</f>
        <v>2</v>
      </c>
      <c r="I17" s="51">
        <f>SUMIF(B37:B1090,B17,P37:P1090)</f>
        <v>0</v>
      </c>
      <c r="J17" s="51">
        <f>SUMIF(B37:B1090,B17,Q37:Q1090)</f>
        <v>0</v>
      </c>
      <c r="K17" s="51">
        <f>SUMIF(B37:B1090,B17,R37:R1090)</f>
        <v>1</v>
      </c>
      <c r="L17" s="51">
        <f>SUMIF(B37:B1090,B17,S37:S1090)</f>
        <v>0</v>
      </c>
      <c r="M17" s="51">
        <f>SUMIF(B37:B1090,B17,M37:M1090)</f>
        <v>26</v>
      </c>
      <c r="N17" s="51">
        <f>SUMIF(B37:B1090,B17,N37:N1090)</f>
        <v>5</v>
      </c>
      <c r="O17" s="51">
        <f>SUMIF(B37:B1090,B17,O37:O1090)</f>
        <v>1</v>
      </c>
      <c r="P17" s="51">
        <f>SUMIF(B37:B1090,B17,J37:J1090)</f>
        <v>3</v>
      </c>
      <c r="Q17" s="51">
        <f>SUMIF(B37:B1090,B17,K37:K1090)</f>
        <v>1</v>
      </c>
      <c r="R17" s="52">
        <f>SUMIF(B37:B1090,B17,L37:L1090)</f>
        <v>1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COUNTIFS(B37:B1090,B17)</f>
        <v>6</v>
      </c>
      <c r="D19" s="58"/>
      <c r="E19" s="23">
        <f>IFERROR(C17/H17,0)</f>
        <v>1018.44</v>
      </c>
      <c r="F19" s="24">
        <f>IFERROR((G17+R17)/F17,0)</f>
        <v>0.6111111111</v>
      </c>
      <c r="G19" s="24">
        <f>IFERROR(H17/G17,0)</f>
        <v>0.2</v>
      </c>
      <c r="H19" s="23">
        <f>(C17/C19)</f>
        <v>339.48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IFERROR(M17/SUM(G17+R17,0),"")</f>
        <v>2.363636364</v>
      </c>
      <c r="N19" s="25"/>
      <c r="O19" s="24">
        <f>IFERROR(O17/N17,0)</f>
        <v>0.2</v>
      </c>
      <c r="P19" s="26"/>
      <c r="Q19" s="24">
        <f>IFERROR(Q17/P17,0)</f>
        <v>0.3333333333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 t="str">
        <f>SUMIF(A:A,B20,G:G)</f>
        <v>#VALUE!</v>
      </c>
      <c r="G20" s="11" t="str">
        <f>SUMIF(A:A,B20,H:H)</f>
        <v>#VALUE!</v>
      </c>
      <c r="H20" s="11" t="str">
        <f>SUMIF(A:A,B20,I:I)</f>
        <v>#VALUE!</v>
      </c>
      <c r="I20" s="11" t="str">
        <f>SUMIF(A:A,B20,P:P)</f>
        <v>#VALUE!</v>
      </c>
      <c r="J20" s="11" t="str">
        <f>SUMIF(A:A,B20,Q:Q)</f>
        <v>#VALUE!</v>
      </c>
      <c r="K20" s="11" t="str">
        <f>SUMIF(A:A,B20,R:R)</f>
        <v>#VALUE!</v>
      </c>
      <c r="L20" s="11" t="str">
        <f>SUMIF(A:A,B20,S:S)</f>
        <v>#VALUE!</v>
      </c>
      <c r="M20" s="11" t="str">
        <f>SUMIF(A:A,B20,M:M)</f>
        <v>#VALUE!</v>
      </c>
      <c r="N20" s="11" t="str">
        <f>SUMIF(A:A,B20,N:N)</f>
        <v>#VALUE!</v>
      </c>
      <c r="O20" s="11" t="str">
        <f>SUMIF(A:A,B20,O:O)</f>
        <v>#VALUE!</v>
      </c>
      <c r="P20" s="11" t="str">
        <f>SUMIF(A:A,B20,J:J)</f>
        <v>#VALUE!</v>
      </c>
      <c r="Q20" s="11" t="str">
        <f>SUMIF(A:A,B20,K:K)</f>
        <v>#VALUE!</v>
      </c>
      <c r="R20" s="33" t="str">
        <f>SUMIF(A:A,B20,L:L)</f>
        <v>#VALUE!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5784</v>
      </c>
      <c r="D23" s="31"/>
      <c r="E23" s="64">
        <f>SUMIFS(T:T,A:A,B23,D:D,"Y")</f>
        <v>2532</v>
      </c>
      <c r="F23" s="9">
        <f>SUMIF(A:A,B23,G:G)</f>
        <v>2</v>
      </c>
      <c r="G23" s="11">
        <f>SUMIF(A:A,B23,H:H)</f>
        <v>2</v>
      </c>
      <c r="H23" s="11">
        <f>SUMIF(A:A,B23,I:I)</f>
        <v>2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3</v>
      </c>
      <c r="N23" s="11">
        <f>SUMIF(A:A,B23,N:N)</f>
        <v>2</v>
      </c>
      <c r="O23" s="11">
        <f>SUMIF(A:A,B23,O:O)</f>
        <v>1</v>
      </c>
      <c r="P23" s="11">
        <f>SUMIF(A:A,B23,J:J)</f>
        <v>2</v>
      </c>
      <c r="Q23" s="11">
        <f>SUMIF(A:A,B23,K:K)</f>
        <v>2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2892</v>
      </c>
      <c r="F25" s="24">
        <f>IFERROR((G23+R23)/F23,0)</f>
        <v>1</v>
      </c>
      <c r="G25" s="24">
        <f>IFERROR(H23/G23,0)</f>
        <v>1</v>
      </c>
      <c r="H25" s="23">
        <f>(C23/C25)</f>
        <v>642.6666667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1.5</v>
      </c>
      <c r="N25" s="25"/>
      <c r="O25" s="24">
        <f>IFERROR(O23/N23,0)</f>
        <v>0.5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1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12444</v>
      </c>
      <c r="D29" s="68"/>
      <c r="E29" s="69">
        <f>SUMIFS(T:T,A:A,B29,D:D,"Y")</f>
        <v>0</v>
      </c>
      <c r="F29" s="70">
        <f>SUMIF(A:A,B29,G:G)</f>
        <v>52</v>
      </c>
      <c r="G29" s="71">
        <f>SUMIF(A:A,B29,H:H)</f>
        <v>32</v>
      </c>
      <c r="H29" s="71">
        <f>SUMIF(A:A,B29,I:I)</f>
        <v>11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96</v>
      </c>
      <c r="N29" s="71">
        <f>SUMIF(A:A,B29,N:N)</f>
        <v>25</v>
      </c>
      <c r="O29" s="71">
        <f>SUMIF(A:A,B29,O:O)</f>
        <v>8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1131.272727</v>
      </c>
      <c r="F31" s="82">
        <f>IFERROR((G29+R29)/F29,0)</f>
        <v>0.6153846154</v>
      </c>
      <c r="G31" s="82">
        <f>IFERROR(H29/G29,0)</f>
        <v>0.34375</v>
      </c>
      <c r="H31" s="81">
        <f>(C29/C31)</f>
        <v>691.3333333</v>
      </c>
      <c r="I31" s="83"/>
      <c r="J31" s="82">
        <f>IFERROR(J29/I29,0)</f>
        <v>0</v>
      </c>
      <c r="K31" s="83"/>
      <c r="L31" s="82">
        <f>IFERROR(L29/K29,0)</f>
        <v>0</v>
      </c>
      <c r="M31" s="84">
        <f>IFERROR(M29/SUM(R29+G29,0),"")</f>
        <v>3</v>
      </c>
      <c r="N31" s="83"/>
      <c r="O31" s="82">
        <f>IFERROR(O29/N29,0)</f>
        <v>0.32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>
        <f>('Thurs (2)'!G37+Thurs!G37+'Tues '!G37+Wed!G37+Fri!G37+'Mon '!G37+'Wed (2)'!G37+Sun!G37+Sat!G37)</f>
        <v>0</v>
      </c>
      <c r="H37" s="103">
        <f>('Thurs (2)'!H37+Thurs!H37+'Tues '!H37+Wed!H37+Fri!H37+'Mon '!H37+'Wed (2)'!H37+Sun!H37+Sat!H37)</f>
        <v>0</v>
      </c>
      <c r="I37" s="103">
        <f>('Thurs (2)'!I37+Thurs!I37+'Tues '!I37+Wed!I37+Fri!I37+'Mon '!I37+'Wed (2)'!I37+Sun!I37+Sat!I37)</f>
        <v>0</v>
      </c>
      <c r="J37" s="103">
        <f>('Thurs (2)'!J37+Thurs!J37+'Tues '!J37+Wed!J37+Fri!J37+'Mon '!J37+'Wed (2)'!J37+Sun!J37+Sat!J37)</f>
        <v>0</v>
      </c>
      <c r="K37" s="103">
        <f>('Thurs (2)'!K37+Thurs!K37+'Tues '!K37+Wed!K37+Fri!K37+'Mon '!K37+'Wed (2)'!K37+Sun!K37+Sat!K37)</f>
        <v>0</v>
      </c>
      <c r="L37" s="103">
        <f>('Thurs (2)'!L37+Thurs!L37+'Tues '!L37+Wed!L37+Fri!L37+'Mon '!L37+'Wed (2)'!L37+Sun!L37+Sat!L37)</f>
        <v>0</v>
      </c>
      <c r="M37" s="103">
        <f>('Thurs (2)'!M37+Thurs!M37+'Tues '!M37+Wed!M37+Fri!M37+'Mon '!M37+'Wed (2)'!M37+Sun!M37+Sat!M37)</f>
        <v>0</v>
      </c>
      <c r="N37" s="103">
        <f>('Thurs (2)'!N37+Thurs!N37+'Tues '!N37+Wed!N37+Fri!N37+'Mon '!N37+'Wed (2)'!N37+Sun!N37+Sat!N37)</f>
        <v>0</v>
      </c>
      <c r="O37" s="103">
        <f>('Thurs (2)'!O37+Thurs!O37+'Tues '!O37+Wed!O37+Fri!O37+'Mon '!O37+'Wed (2)'!O37+Sun!O37+Sat!O37)</f>
        <v>0</v>
      </c>
      <c r="P37" s="103">
        <f>('Thurs (2)'!P37+Thurs!P37+'Tues '!P37+Wed!P37+Fri!P37+'Mon '!P37+'Wed (2)'!P37+Sun!P37+Sat!P37)</f>
        <v>0</v>
      </c>
      <c r="Q37" s="103">
        <f>('Thurs (2)'!Q37+Thurs!Q37+'Tues '!Q37+Wed!Q37+Fri!Q37+'Mon '!Q37+'Wed (2)'!Q37+Sun!Q37+Sat!Q37)</f>
        <v>0</v>
      </c>
      <c r="R37" s="103">
        <f>('Thurs (2)'!R37+Thurs!R37+'Tues '!R37+Wed!R37+Fri!R37+'Mon '!R37+'Wed (2)'!R37+Sun!R37+Sat!R37)</f>
        <v>0</v>
      </c>
      <c r="S37" s="103">
        <f>('Thurs (2)'!S37+Thurs!S37+'Tues '!S37+Wed!S37+Fri!S37+'Mon '!S37+'Wed (2)'!S37+Sun!S37+Sat!S37)</f>
        <v>0</v>
      </c>
      <c r="T37" s="103">
        <f>('Thurs (2)'!T37+Thurs!T37+'Tues '!T37+Wed!T37+Fri!T37+'Mon '!T37+'Wed (2)'!T37+Sun!T37+Sat!T37)</f>
        <v>0</v>
      </c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>
        <f>('Thurs (2)'!G38+Thurs!G38+'Tues '!G38+Wed!G38+Fri!G38+'Mon '!G38+'Wed (2)'!G38+Sun!G38+Sat!G38)</f>
        <v>0</v>
      </c>
      <c r="H38" s="103">
        <f>('Thurs (2)'!H38+Thurs!H38+'Tues '!H38+Wed!H38+Fri!H38+'Mon '!H38+'Wed (2)'!H38+Sun!H38+Sat!H38)</f>
        <v>0</v>
      </c>
      <c r="I38" s="103">
        <f>('Thurs (2)'!I38+Thurs!I38+'Tues '!I38+Wed!I38+Fri!I38+'Mon '!I38+'Wed (2)'!I38+Sun!I38+Sat!I38)</f>
        <v>0</v>
      </c>
      <c r="J38" s="103">
        <f>('Thurs (2)'!J38+Thurs!J38+'Tues '!J38+Wed!J38+Fri!J38+'Mon '!J38+'Wed (2)'!J38+Sun!J38+Sat!J38)</f>
        <v>0</v>
      </c>
      <c r="K38" s="103">
        <f>('Thurs (2)'!K38+Thurs!K38+'Tues '!K38+Wed!K38+Fri!K38+'Mon '!K38+'Wed (2)'!K38+Sun!K38+Sat!K38)</f>
        <v>0</v>
      </c>
      <c r="L38" s="103">
        <f>('Thurs (2)'!L38+Thurs!L38+'Tues '!L38+Wed!L38+Fri!L38+'Mon '!L38+'Wed (2)'!L38+Sun!L38+Sat!L38)</f>
        <v>0</v>
      </c>
      <c r="M38" s="103">
        <f>('Thurs (2)'!M38+Thurs!M38+'Tues '!M38+Wed!M38+Fri!M38+'Mon '!M38+'Wed (2)'!M38+Sun!M38+Sat!M38)</f>
        <v>0</v>
      </c>
      <c r="N38" s="103">
        <f>('Thurs (2)'!N38+Thurs!N38+'Tues '!N38+Wed!N38+Fri!N38+'Mon '!N38+'Wed (2)'!N38+Sun!N38+Sat!N38)</f>
        <v>0</v>
      </c>
      <c r="O38" s="103">
        <f>('Thurs (2)'!O38+Thurs!O38+'Tues '!O38+Wed!O38+Fri!O38+'Mon '!O38+'Wed (2)'!O38+Sun!O38+Sat!O38)</f>
        <v>0</v>
      </c>
      <c r="P38" s="103">
        <f>('Thurs (2)'!P38+Thurs!P38+'Tues '!P38+Wed!P38+Fri!P38+'Mon '!P38+'Wed (2)'!P38+Sun!P38+Sat!P38)</f>
        <v>0</v>
      </c>
      <c r="Q38" s="103">
        <f>('Thurs (2)'!Q38+Thurs!Q38+'Tues '!Q38+Wed!Q38+Fri!Q38+'Mon '!Q38+'Wed (2)'!Q38+Sun!Q38+Sat!Q38)</f>
        <v>0</v>
      </c>
      <c r="R38" s="103">
        <f>('Thurs (2)'!R38+Thurs!R38+'Tues '!R38+Wed!R38+Fri!R38+'Mon '!R38+'Wed (2)'!R38+Sun!R38+Sat!R38)</f>
        <v>0</v>
      </c>
      <c r="S38" s="103">
        <f>('Thurs (2)'!S38+Thurs!S38+'Tues '!S38+Wed!S38+Fri!S38+'Mon '!S38+'Wed (2)'!S38+Sun!S38+Sat!S38)</f>
        <v>0</v>
      </c>
      <c r="T38" s="103">
        <f>('Thurs (2)'!T38+Thurs!T38+'Tues '!T38+Wed!T38+Fri!T38+'Mon '!T38+'Wed (2)'!T38+Sun!T38+Sat!T38)</f>
        <v>0</v>
      </c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>
        <f>('Thurs (2)'!G39+Thurs!G39+'Tues '!G39+Wed!G39+Fri!G39+'Mon '!G39+'Wed (2)'!G39+Sun!G39+Sat!G39)</f>
        <v>0</v>
      </c>
      <c r="H39" s="103">
        <f>('Thurs (2)'!H39+Thurs!H39+'Tues '!H39+Wed!H39+Fri!H39+'Mon '!H39+'Wed (2)'!H39+Sun!H39+Sat!H39)</f>
        <v>0</v>
      </c>
      <c r="I39" s="103">
        <f>('Thurs (2)'!I39+Thurs!I39+'Tues '!I39+Wed!I39+Fri!I39+'Mon '!I39+'Wed (2)'!I39+Sun!I39+Sat!I39)</f>
        <v>0</v>
      </c>
      <c r="J39" s="103">
        <f>('Thurs (2)'!J39+Thurs!J39+'Tues '!J39+Wed!J39+Fri!J39+'Mon '!J39+'Wed (2)'!J39+Sun!J39+Sat!J39)</f>
        <v>0</v>
      </c>
      <c r="K39" s="103">
        <f>('Thurs (2)'!K39+Thurs!K39+'Tues '!K39+Wed!K39+Fri!K39+'Mon '!K39+'Wed (2)'!K39+Sun!K39+Sat!K39)</f>
        <v>0</v>
      </c>
      <c r="L39" s="103">
        <f>('Thurs (2)'!L39+Thurs!L39+'Tues '!L39+Wed!L39+Fri!L39+'Mon '!L39+'Wed (2)'!L39+Sun!L39+Sat!L39)</f>
        <v>0</v>
      </c>
      <c r="M39" s="103">
        <f>('Thurs (2)'!M39+Thurs!M39+'Tues '!M39+Wed!M39+Fri!M39+'Mon '!M39+'Wed (2)'!M39+Sun!M39+Sat!M39)</f>
        <v>0</v>
      </c>
      <c r="N39" s="103">
        <f>('Thurs (2)'!N39+Thurs!N39+'Tues '!N39+Wed!N39+Fri!N39+'Mon '!N39+'Wed (2)'!N39+Sun!N39+Sat!N39)</f>
        <v>0</v>
      </c>
      <c r="O39" s="103">
        <f>('Thurs (2)'!O39+Thurs!O39+'Tues '!O39+Wed!O39+Fri!O39+'Mon '!O39+'Wed (2)'!O39+Sun!O39+Sat!O39)</f>
        <v>0</v>
      </c>
      <c r="P39" s="103">
        <f>('Thurs (2)'!P39+Thurs!P39+'Tues '!P39+Wed!P39+Fri!P39+'Mon '!P39+'Wed (2)'!P39+Sun!P39+Sat!P39)</f>
        <v>0</v>
      </c>
      <c r="Q39" s="103">
        <f>('Thurs (2)'!Q39+Thurs!Q39+'Tues '!Q39+Wed!Q39+Fri!Q39+'Mon '!Q39+'Wed (2)'!Q39+Sun!Q39+Sat!Q39)</f>
        <v>0</v>
      </c>
      <c r="R39" s="103">
        <f>('Thurs (2)'!R39+Thurs!R39+'Tues '!R39+Wed!R39+Fri!R39+'Mon '!R39+'Wed (2)'!R39+Sun!R39+Sat!R39)</f>
        <v>0</v>
      </c>
      <c r="S39" s="103">
        <f>('Thurs (2)'!S39+Thurs!S39+'Tues '!S39+Wed!S39+Fri!S39+'Mon '!S39+'Wed (2)'!S39+Sun!S39+Sat!S39)</f>
        <v>0</v>
      </c>
      <c r="T39" s="103">
        <f>('Thurs (2)'!T39+Thurs!T39+'Tues '!T39+Wed!T39+Fri!T39+'Mon '!T39+'Wed (2)'!T39+Sun!T39+Sat!T39)</f>
        <v>0</v>
      </c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>
        <f>('Thurs (2)'!G40+Thurs!G40+'Tues '!G40+Wed!G40+Fri!G40+'Mon '!G40+'Wed (2)'!G40+Sun!G40+Sat!G40)</f>
        <v>0</v>
      </c>
      <c r="H40" s="103">
        <f>('Thurs (2)'!H40+Thurs!H40+'Tues '!H40+Wed!H40+Fri!H40+'Mon '!H40+'Wed (2)'!H40+Sun!H40+Sat!H40)</f>
        <v>0</v>
      </c>
      <c r="I40" s="103">
        <f>('Thurs (2)'!I40+Thurs!I40+'Tues '!I40+Wed!I40+Fri!I40+'Mon '!I40+'Wed (2)'!I40+Sun!I40+Sat!I40)</f>
        <v>0</v>
      </c>
      <c r="J40" s="103">
        <f>('Thurs (2)'!J40+Thurs!J40+'Tues '!J40+Wed!J40+Fri!J40+'Mon '!J40+'Wed (2)'!J40+Sun!J40+Sat!J40)</f>
        <v>0</v>
      </c>
      <c r="K40" s="103">
        <f>('Thurs (2)'!K40+Thurs!K40+'Tues '!K40+Wed!K40+Fri!K40+'Mon '!K40+'Wed (2)'!K40+Sun!K40+Sat!K40)</f>
        <v>0</v>
      </c>
      <c r="L40" s="103">
        <f>('Thurs (2)'!L40+Thurs!L40+'Tues '!L40+Wed!L40+Fri!L40+'Mon '!L40+'Wed (2)'!L40+Sun!L40+Sat!L40)</f>
        <v>0</v>
      </c>
      <c r="M40" s="103">
        <f>('Thurs (2)'!M40+Thurs!M40+'Tues '!M40+Wed!M40+Fri!M40+'Mon '!M40+'Wed (2)'!M40+Sun!M40+Sat!M40)</f>
        <v>0</v>
      </c>
      <c r="N40" s="103">
        <f>('Thurs (2)'!N40+Thurs!N40+'Tues '!N40+Wed!N40+Fri!N40+'Mon '!N40+'Wed (2)'!N40+Sun!N40+Sat!N40)</f>
        <v>0</v>
      </c>
      <c r="O40" s="103">
        <f>('Thurs (2)'!O40+Thurs!O40+'Tues '!O40+Wed!O40+Fri!O40+'Mon '!O40+'Wed (2)'!O40+Sun!O40+Sat!O40)</f>
        <v>0</v>
      </c>
      <c r="P40" s="103">
        <f>('Thurs (2)'!P40+Thurs!P40+'Tues '!P40+Wed!P40+Fri!P40+'Mon '!P40+'Wed (2)'!P40+Sun!P40+Sat!P40)</f>
        <v>0</v>
      </c>
      <c r="Q40" s="103">
        <f>('Thurs (2)'!Q40+Thurs!Q40+'Tues '!Q40+Wed!Q40+Fri!Q40+'Mon '!Q40+'Wed (2)'!Q40+Sun!Q40+Sat!Q40)</f>
        <v>0</v>
      </c>
      <c r="R40" s="103">
        <f>('Thurs (2)'!R40+Thurs!R40+'Tues '!R40+Wed!R40+Fri!R40+'Mon '!R40+'Wed (2)'!R40+Sun!R40+Sat!R40)</f>
        <v>0</v>
      </c>
      <c r="S40" s="103">
        <f>('Thurs (2)'!S40+Thurs!S40+'Tues '!S40+Wed!S40+Fri!S40+'Mon '!S40+'Wed (2)'!S40+Sun!S40+Sat!S40)</f>
        <v>0</v>
      </c>
      <c r="T40" s="103">
        <f>('Thurs (2)'!T40+Thurs!T40+'Tues '!T40+Wed!T40+Fri!T40+'Mon '!T40+'Wed (2)'!T40+Sun!T40+Sat!T40)</f>
        <v>0</v>
      </c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>
        <f>('Thurs (2)'!G41+Thurs!G41+'Tues '!G41+Wed!G41+Fri!G41+'Mon '!G41+'Wed (2)'!G41+Sun!G41+Sat!G41)</f>
        <v>0</v>
      </c>
      <c r="H41" s="103">
        <f>('Thurs (2)'!H41+Thurs!H41+'Tues '!H41+Wed!H41+Fri!H41+'Mon '!H41+'Wed (2)'!H41+Sun!H41+Sat!H41)</f>
        <v>0</v>
      </c>
      <c r="I41" s="103">
        <f>('Thurs (2)'!I41+Thurs!I41+'Tues '!I41+Wed!I41+Fri!I41+'Mon '!I41+'Wed (2)'!I41+Sun!I41+Sat!I41)</f>
        <v>0</v>
      </c>
      <c r="J41" s="103">
        <f>('Thurs (2)'!J41+Thurs!J41+'Tues '!J41+Wed!J41+Fri!J41+'Mon '!J41+'Wed (2)'!J41+Sun!J41+Sat!J41)</f>
        <v>0</v>
      </c>
      <c r="K41" s="103">
        <f>('Thurs (2)'!K41+Thurs!K41+'Tues '!K41+Wed!K41+Fri!K41+'Mon '!K41+'Wed (2)'!K41+Sun!K41+Sat!K41)</f>
        <v>0</v>
      </c>
      <c r="L41" s="103">
        <f>('Thurs (2)'!L41+Thurs!L41+'Tues '!L41+Wed!L41+Fri!L41+'Mon '!L41+'Wed (2)'!L41+Sun!L41+Sat!L41)</f>
        <v>0</v>
      </c>
      <c r="M41" s="103">
        <f>('Thurs (2)'!M41+Thurs!M41+'Tues '!M41+Wed!M41+Fri!M41+'Mon '!M41+'Wed (2)'!M41+Sun!M41+Sat!M41)</f>
        <v>0</v>
      </c>
      <c r="N41" s="103">
        <f>('Thurs (2)'!N41+Thurs!N41+'Tues '!N41+Wed!N41+Fri!N41+'Mon '!N41+'Wed (2)'!N41+Sun!N41+Sat!N41)</f>
        <v>0</v>
      </c>
      <c r="O41" s="103">
        <f>('Thurs (2)'!O41+Thurs!O41+'Tues '!O41+Wed!O41+Fri!O41+'Mon '!O41+'Wed (2)'!O41+Sun!O41+Sat!O41)</f>
        <v>0</v>
      </c>
      <c r="P41" s="103">
        <f>('Thurs (2)'!P41+Thurs!P41+'Tues '!P41+Wed!P41+Fri!P41+'Mon '!P41+'Wed (2)'!P41+Sun!P41+Sat!P41)</f>
        <v>0</v>
      </c>
      <c r="Q41" s="103">
        <f>('Thurs (2)'!Q41+Thurs!Q41+'Tues '!Q41+Wed!Q41+Fri!Q41+'Mon '!Q41+'Wed (2)'!Q41+Sun!Q41+Sat!Q41)</f>
        <v>0</v>
      </c>
      <c r="R41" s="103">
        <f>('Thurs (2)'!R41+Thurs!R41+'Tues '!R41+Wed!R41+Fri!R41+'Mon '!R41+'Wed (2)'!R41+Sun!R41+Sat!R41)</f>
        <v>0</v>
      </c>
      <c r="S41" s="103">
        <f>('Thurs (2)'!S41+Thurs!S41+'Tues '!S41+Wed!S41+Fri!S41+'Mon '!S41+'Wed (2)'!S41+Sun!S41+Sat!S41)</f>
        <v>0</v>
      </c>
      <c r="T41" s="103">
        <f>('Thurs (2)'!T41+Thurs!T41+'Tues '!T41+Wed!T41+Fri!T41+'Mon '!T41+'Wed (2)'!T41+Sun!T41+Sat!T41)</f>
        <v>0</v>
      </c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>
        <f>('Thurs (2)'!G42+Thurs!G42+'Tues '!G42+Wed!G42+Fri!G42+'Mon '!G42+'Wed (2)'!G42+Sun!G42+Sat!G42)</f>
        <v>0</v>
      </c>
      <c r="H42" s="103">
        <f>('Thurs (2)'!H42+Thurs!H42+'Tues '!H42+Wed!H42+Fri!H42+'Mon '!H42+'Wed (2)'!H42+Sun!H42+Sat!H42)</f>
        <v>0</v>
      </c>
      <c r="I42" s="103">
        <f>('Thurs (2)'!I42+Thurs!I42+'Tues '!I42+Wed!I42+Fri!I42+'Mon '!I42+'Wed (2)'!I42+Sun!I42+Sat!I42)</f>
        <v>0</v>
      </c>
      <c r="J42" s="103">
        <f>('Thurs (2)'!J42+Thurs!J42+'Tues '!J42+Wed!J42+Fri!J42+'Mon '!J42+'Wed (2)'!J42+Sun!J42+Sat!J42)</f>
        <v>0</v>
      </c>
      <c r="K42" s="103">
        <f>('Thurs (2)'!K42+Thurs!K42+'Tues '!K42+Wed!K42+Fri!K42+'Mon '!K42+'Wed (2)'!K42+Sun!K42+Sat!K42)</f>
        <v>0</v>
      </c>
      <c r="L42" s="103">
        <f>('Thurs (2)'!L42+Thurs!L42+'Tues '!L42+Wed!L42+Fri!L42+'Mon '!L42+'Wed (2)'!L42+Sun!L42+Sat!L42)</f>
        <v>0</v>
      </c>
      <c r="M42" s="103">
        <f>('Thurs (2)'!M42+Thurs!M42+'Tues '!M42+Wed!M42+Fri!M42+'Mon '!M42+'Wed (2)'!M42+Sun!M42+Sat!M42)</f>
        <v>0</v>
      </c>
      <c r="N42" s="103">
        <f>('Thurs (2)'!N42+Thurs!N42+'Tues '!N42+Wed!N42+Fri!N42+'Mon '!N42+'Wed (2)'!N42+Sun!N42+Sat!N42)</f>
        <v>0</v>
      </c>
      <c r="O42" s="103">
        <f>('Thurs (2)'!O42+Thurs!O42+'Tues '!O42+Wed!O42+Fri!O42+'Mon '!O42+'Wed (2)'!O42+Sun!O42+Sat!O42)</f>
        <v>0</v>
      </c>
      <c r="P42" s="103">
        <f>('Thurs (2)'!P42+Thurs!P42+'Tues '!P42+Wed!P42+Fri!P42+'Mon '!P42+'Wed (2)'!P42+Sun!P42+Sat!P42)</f>
        <v>0</v>
      </c>
      <c r="Q42" s="103">
        <f>('Thurs (2)'!Q42+Thurs!Q42+'Tues '!Q42+Wed!Q42+Fri!Q42+'Mon '!Q42+'Wed (2)'!Q42+Sun!Q42+Sat!Q42)</f>
        <v>0</v>
      </c>
      <c r="R42" s="103">
        <f>('Thurs (2)'!R42+Thurs!R42+'Tues '!R42+Wed!R42+Fri!R42+'Mon '!R42+'Wed (2)'!R42+Sun!R42+Sat!R42)</f>
        <v>0</v>
      </c>
      <c r="S42" s="103">
        <f>('Thurs (2)'!S42+Thurs!S42+'Tues '!S42+Wed!S42+Fri!S42+'Mon '!S42+'Wed (2)'!S42+Sun!S42+Sat!S42)</f>
        <v>0</v>
      </c>
      <c r="T42" s="103">
        <f>('Thurs (2)'!T42+Thurs!T42+'Tues '!T42+Wed!T42+Fri!T42+'Mon '!T42+'Wed (2)'!T42+Sun!T42+Sat!T42)</f>
        <v>0</v>
      </c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>
        <f>('Thurs (2)'!G43+Thurs!G43+'Tues '!G43+Wed!G43+Fri!G43+'Mon '!G43+'Wed (2)'!G43+Sun!G43+Sat!G43)</f>
        <v>0</v>
      </c>
      <c r="H43" s="103">
        <f>('Thurs (2)'!H43+Thurs!H43+'Tues '!H43+Wed!H43+Fri!H43+'Mon '!H43+'Wed (2)'!H43+Sun!H43+Sat!H43)</f>
        <v>0</v>
      </c>
      <c r="I43" s="103">
        <f>('Thurs (2)'!I43+Thurs!I43+'Tues '!I43+Wed!I43+Fri!I43+'Mon '!I43+'Wed (2)'!I43+Sun!I43+Sat!I43)</f>
        <v>0</v>
      </c>
      <c r="J43" s="103">
        <f>('Thurs (2)'!J43+Thurs!J43+'Tues '!J43+Wed!J43+Fri!J43+'Mon '!J43+'Wed (2)'!J43+Sun!J43+Sat!J43)</f>
        <v>0</v>
      </c>
      <c r="K43" s="103">
        <f>('Thurs (2)'!K43+Thurs!K43+'Tues '!K43+Wed!K43+Fri!K43+'Mon '!K43+'Wed (2)'!K43+Sun!K43+Sat!K43)</f>
        <v>0</v>
      </c>
      <c r="L43" s="103">
        <f>('Thurs (2)'!L43+Thurs!L43+'Tues '!L43+Wed!L43+Fri!L43+'Mon '!L43+'Wed (2)'!L43+Sun!L43+Sat!L43)</f>
        <v>0</v>
      </c>
      <c r="M43" s="103">
        <f>('Thurs (2)'!M43+Thurs!M43+'Tues '!M43+Wed!M43+Fri!M43+'Mon '!M43+'Wed (2)'!M43+Sun!M43+Sat!M43)</f>
        <v>0</v>
      </c>
      <c r="N43" s="103">
        <f>('Thurs (2)'!N43+Thurs!N43+'Tues '!N43+Wed!N43+Fri!N43+'Mon '!N43+'Wed (2)'!N43+Sun!N43+Sat!N43)</f>
        <v>0</v>
      </c>
      <c r="O43" s="103">
        <f>('Thurs (2)'!O43+Thurs!O43+'Tues '!O43+Wed!O43+Fri!O43+'Mon '!O43+'Wed (2)'!O43+Sun!O43+Sat!O43)</f>
        <v>0</v>
      </c>
      <c r="P43" s="103">
        <f>('Thurs (2)'!P43+Thurs!P43+'Tues '!P43+Wed!P43+Fri!P43+'Mon '!P43+'Wed (2)'!P43+Sun!P43+Sat!P43)</f>
        <v>0</v>
      </c>
      <c r="Q43" s="103">
        <f>('Thurs (2)'!Q43+Thurs!Q43+'Tues '!Q43+Wed!Q43+Fri!Q43+'Mon '!Q43+'Wed (2)'!Q43+Sun!Q43+Sat!Q43)</f>
        <v>0</v>
      </c>
      <c r="R43" s="103">
        <f>('Thurs (2)'!R43+Thurs!R43+'Tues '!R43+Wed!R43+Fri!R43+'Mon '!R43+'Wed (2)'!R43+Sun!R43+Sat!R43)</f>
        <v>0</v>
      </c>
      <c r="S43" s="103">
        <f>('Thurs (2)'!S43+Thurs!S43+'Tues '!S43+Wed!S43+Fri!S43+'Mon '!S43+'Wed (2)'!S43+Sun!S43+Sat!S43)</f>
        <v>0</v>
      </c>
      <c r="T43" s="103">
        <f>('Thurs (2)'!T43+Thurs!T43+'Tues '!T43+Wed!T43+Fri!T43+'Mon '!T43+'Wed (2)'!T43+Sun!T43+Sat!T43)</f>
        <v>0</v>
      </c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>
        <f>('Thurs (2)'!G44+Thurs!G44+'Tues '!G44+Wed!G44+Fri!G44+'Mon '!G44+'Wed (2)'!G44+Sun!G44+Sat!G44)</f>
        <v>0</v>
      </c>
      <c r="H44" s="103">
        <f>('Thurs (2)'!H44+Thurs!H44+'Tues '!H44+Wed!H44+Fri!H44+'Mon '!H44+'Wed (2)'!H44+Sun!H44+Sat!H44)</f>
        <v>0</v>
      </c>
      <c r="I44" s="103">
        <f>('Thurs (2)'!I44+Thurs!I44+'Tues '!I44+Wed!I44+Fri!I44+'Mon '!I44+'Wed (2)'!I44+Sun!I44+Sat!I44)</f>
        <v>0</v>
      </c>
      <c r="J44" s="103">
        <f>('Thurs (2)'!J44+Thurs!J44+'Tues '!J44+Wed!J44+Fri!J44+'Mon '!J44+'Wed (2)'!J44+Sun!J44+Sat!J44)</f>
        <v>0</v>
      </c>
      <c r="K44" s="103">
        <f>('Thurs (2)'!K44+Thurs!K44+'Tues '!K44+Wed!K44+Fri!K44+'Mon '!K44+'Wed (2)'!K44+Sun!K44+Sat!K44)</f>
        <v>0</v>
      </c>
      <c r="L44" s="103">
        <f>('Thurs (2)'!L44+Thurs!L44+'Tues '!L44+Wed!L44+Fri!L44+'Mon '!L44+'Wed (2)'!L44+Sun!L44+Sat!L44)</f>
        <v>0</v>
      </c>
      <c r="M44" s="103">
        <f>('Thurs (2)'!M44+Thurs!M44+'Tues '!M44+Wed!M44+Fri!M44+'Mon '!M44+'Wed (2)'!M44+Sun!M44+Sat!M44)</f>
        <v>0</v>
      </c>
      <c r="N44" s="103">
        <f>('Thurs (2)'!N44+Thurs!N44+'Tues '!N44+Wed!N44+Fri!N44+'Mon '!N44+'Wed (2)'!N44+Sun!N44+Sat!N44)</f>
        <v>0</v>
      </c>
      <c r="O44" s="103">
        <f>('Thurs (2)'!O44+Thurs!O44+'Tues '!O44+Wed!O44+Fri!O44+'Mon '!O44+'Wed (2)'!O44+Sun!O44+Sat!O44)</f>
        <v>0</v>
      </c>
      <c r="P44" s="103">
        <f>('Thurs (2)'!P44+Thurs!P44+'Tues '!P44+Wed!P44+Fri!P44+'Mon '!P44+'Wed (2)'!P44+Sun!P44+Sat!P44)</f>
        <v>0</v>
      </c>
      <c r="Q44" s="103">
        <f>('Thurs (2)'!Q44+Thurs!Q44+'Tues '!Q44+Wed!Q44+Fri!Q44+'Mon '!Q44+'Wed (2)'!Q44+Sun!Q44+Sat!Q44)</f>
        <v>0</v>
      </c>
      <c r="R44" s="103">
        <f>('Thurs (2)'!R44+Thurs!R44+'Tues '!R44+Wed!R44+Fri!R44+'Mon '!R44+'Wed (2)'!R44+Sun!R44+Sat!R44)</f>
        <v>0</v>
      </c>
      <c r="S44" s="103">
        <f>('Thurs (2)'!S44+Thurs!S44+'Tues '!S44+Wed!S44+Fri!S44+'Mon '!S44+'Wed (2)'!S44+Sun!S44+Sat!S44)</f>
        <v>0</v>
      </c>
      <c r="T44" s="103">
        <f>('Thurs (2)'!T44+Thurs!T44+'Tues '!T44+Wed!T44+Fri!T44+'Mon '!T44+'Wed (2)'!T44+Sun!T44+Sat!T44)</f>
        <v>0</v>
      </c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>
        <f>('Thurs (2)'!G45+Thurs!G45+'Tues '!G45+Wed!G45+Fri!G45+'Mon '!G45+'Wed (2)'!G45+Sun!G45+Sat!G45)</f>
        <v>0</v>
      </c>
      <c r="H45" s="103">
        <f>('Thurs (2)'!H45+Thurs!H45+'Tues '!H45+Wed!H45+Fri!H45+'Mon '!H45+'Wed (2)'!H45+Sun!H45+Sat!H45)</f>
        <v>0</v>
      </c>
      <c r="I45" s="103">
        <f>('Thurs (2)'!I45+Thurs!I45+'Tues '!I45+Wed!I45+Fri!I45+'Mon '!I45+'Wed (2)'!I45+Sun!I45+Sat!I45)</f>
        <v>0</v>
      </c>
      <c r="J45" s="103">
        <f>('Thurs (2)'!J45+Thurs!J45+'Tues '!J45+Wed!J45+Fri!J45+'Mon '!J45+'Wed (2)'!J45+Sun!J45+Sat!J45)</f>
        <v>0</v>
      </c>
      <c r="K45" s="103">
        <f>('Thurs (2)'!K45+Thurs!K45+'Tues '!K45+Wed!K45+Fri!K45+'Mon '!K45+'Wed (2)'!K45+Sun!K45+Sat!K45)</f>
        <v>0</v>
      </c>
      <c r="L45" s="103">
        <f>('Thurs (2)'!L45+Thurs!L45+'Tues '!L45+Wed!L45+Fri!L45+'Mon '!L45+'Wed (2)'!L45+Sun!L45+Sat!L45)</f>
        <v>0</v>
      </c>
      <c r="M45" s="103">
        <f>('Thurs (2)'!M45+Thurs!M45+'Tues '!M45+Wed!M45+Fri!M45+'Mon '!M45+'Wed (2)'!M45+Sun!M45+Sat!M45)</f>
        <v>0</v>
      </c>
      <c r="N45" s="103">
        <f>('Thurs (2)'!N45+Thurs!N45+'Tues '!N45+Wed!N45+Fri!N45+'Mon '!N45+'Wed (2)'!N45+Sun!N45+Sat!N45)</f>
        <v>0</v>
      </c>
      <c r="O45" s="103">
        <f>('Thurs (2)'!O45+Thurs!O45+'Tues '!O45+Wed!O45+Fri!O45+'Mon '!O45+'Wed (2)'!O45+Sun!O45+Sat!O45)</f>
        <v>0</v>
      </c>
      <c r="P45" s="103">
        <f>('Thurs (2)'!P45+Thurs!P45+'Tues '!P45+Wed!P45+Fri!P45+'Mon '!P45+'Wed (2)'!P45+Sun!P45+Sat!P45)</f>
        <v>0</v>
      </c>
      <c r="Q45" s="103">
        <f>('Thurs (2)'!Q45+Thurs!Q45+'Tues '!Q45+Wed!Q45+Fri!Q45+'Mon '!Q45+'Wed (2)'!Q45+Sun!Q45+Sat!Q45)</f>
        <v>0</v>
      </c>
      <c r="R45" s="103">
        <f>('Thurs (2)'!R45+Thurs!R45+'Tues '!R45+Wed!R45+Fri!R45+'Mon '!R45+'Wed (2)'!R45+Sun!R45+Sat!R45)</f>
        <v>0</v>
      </c>
      <c r="S45" s="103">
        <f>('Thurs (2)'!S45+Thurs!S45+'Tues '!S45+Wed!S45+Fri!S45+'Mon '!S45+'Wed (2)'!S45+Sun!S45+Sat!S45)</f>
        <v>0</v>
      </c>
      <c r="T45" s="103">
        <f>('Thurs (2)'!T45+Thurs!T45+'Tues '!T45+Wed!T45+Fri!T45+'Mon '!T45+'Wed (2)'!T45+Sun!T45+Sat!T45)</f>
        <v>0</v>
      </c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>
        <f>('Thurs (2)'!G46+Thurs!G46+'Tues '!G46+Wed!G46+Fri!G46+'Mon '!G46+'Wed (2)'!G46+Sun!G46+Sat!G46)</f>
        <v>3</v>
      </c>
      <c r="H46" s="103">
        <f>('Thurs (2)'!H46+Thurs!H46+'Tues '!H46+Wed!H46+Fri!H46+'Mon '!H46+'Wed (2)'!H46+Sun!H46+Sat!H46)</f>
        <v>1</v>
      </c>
      <c r="I46" s="103">
        <f>('Thurs (2)'!I46+Thurs!I46+'Tues '!I46+Wed!I46+Fri!I46+'Mon '!I46+'Wed (2)'!I46+Sun!I46+Sat!I46)</f>
        <v>1</v>
      </c>
      <c r="J46" s="103">
        <f>('Thurs (2)'!J46+Thurs!J46+'Tues '!J46+Wed!J46+Fri!J46+'Mon '!J46+'Wed (2)'!J46+Sun!J46+Sat!J46)</f>
        <v>0</v>
      </c>
      <c r="K46" s="103">
        <f>('Thurs (2)'!K46+Thurs!K46+'Tues '!K46+Wed!K46+Fri!K46+'Mon '!K46+'Wed (2)'!K46+Sun!K46+Sat!K46)</f>
        <v>0</v>
      </c>
      <c r="L46" s="103">
        <f>('Thurs (2)'!L46+Thurs!L46+'Tues '!L46+Wed!L46+Fri!L46+'Mon '!L46+'Wed (2)'!L46+Sun!L46+Sat!L46)</f>
        <v>0</v>
      </c>
      <c r="M46" s="103">
        <f>('Thurs (2)'!M46+Thurs!M46+'Tues '!M46+Wed!M46+Fri!M46+'Mon '!M46+'Wed (2)'!M46+Sun!M46+Sat!M46)</f>
        <v>0</v>
      </c>
      <c r="N46" s="103">
        <f>('Thurs (2)'!N46+Thurs!N46+'Tues '!N46+Wed!N46+Fri!N46+'Mon '!N46+'Wed (2)'!N46+Sun!N46+Sat!N46)</f>
        <v>1</v>
      </c>
      <c r="O46" s="103">
        <f>('Thurs (2)'!O46+Thurs!O46+'Tues '!O46+Wed!O46+Fri!O46+'Mon '!O46+'Wed (2)'!O46+Sun!O46+Sat!O46)</f>
        <v>1</v>
      </c>
      <c r="P46" s="103">
        <f>('Thurs (2)'!P46+Thurs!P46+'Tues '!P46+Wed!P46+Fri!P46+'Mon '!P46+'Wed (2)'!P46+Sun!P46+Sat!P46)</f>
        <v>0</v>
      </c>
      <c r="Q46" s="103">
        <f>('Thurs (2)'!Q46+Thurs!Q46+'Tues '!Q46+Wed!Q46+Fri!Q46+'Mon '!Q46+'Wed (2)'!Q46+Sun!Q46+Sat!Q46)</f>
        <v>0</v>
      </c>
      <c r="R46" s="103">
        <f>('Thurs (2)'!R46+Thurs!R46+'Tues '!R46+Wed!R46+Fri!R46+'Mon '!R46+'Wed (2)'!R46+Sun!R46+Sat!R46)</f>
        <v>0</v>
      </c>
      <c r="S46" s="103">
        <f>('Thurs (2)'!S46+Thurs!S46+'Tues '!S46+Wed!S46+Fri!S46+'Mon '!S46+'Wed (2)'!S46+Sun!S46+Sat!S46)</f>
        <v>0</v>
      </c>
      <c r="T46" s="103">
        <f>('Thurs (2)'!T46+Thurs!T46+'Tues '!T46+Wed!T46+Fri!T46+'Mon '!T46+'Wed (2)'!T46+Sun!T46+Sat!T46)</f>
        <v>297</v>
      </c>
      <c r="U46" s="104">
        <f t="shared" si="2"/>
        <v>1</v>
      </c>
      <c r="V46" s="104">
        <f t="shared" si="3"/>
        <v>0.3333333333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>
        <f>('Thurs (2)'!G47+Thurs!G47+'Tues '!G47+Wed!G47+Fri!G47+'Mon '!G47+'Wed (2)'!G47+Sun!G47+Sat!G47)</f>
        <v>1</v>
      </c>
      <c r="H47" s="103">
        <f>('Thurs (2)'!H47+Thurs!H47+'Tues '!H47+Wed!H47+Fri!H47+'Mon '!H47+'Wed (2)'!H47+Sun!H47+Sat!H47)</f>
        <v>1</v>
      </c>
      <c r="I47" s="103">
        <f>('Thurs (2)'!I47+Thurs!I47+'Tues '!I47+Wed!I47+Fri!I47+'Mon '!I47+'Wed (2)'!I47+Sun!I47+Sat!I47)</f>
        <v>1</v>
      </c>
      <c r="J47" s="103">
        <f>('Thurs (2)'!J47+Thurs!J47+'Tues '!J47+Wed!J47+Fri!J47+'Mon '!J47+'Wed (2)'!J47+Sun!J47+Sat!J47)</f>
        <v>0</v>
      </c>
      <c r="K47" s="103">
        <f>('Thurs (2)'!K47+Thurs!K47+'Tues '!K47+Wed!K47+Fri!K47+'Mon '!K47+'Wed (2)'!K47+Sun!K47+Sat!K47)</f>
        <v>0</v>
      </c>
      <c r="L47" s="103">
        <f>('Thurs (2)'!L47+Thurs!L47+'Tues '!L47+Wed!L47+Fri!L47+'Mon '!L47+'Wed (2)'!L47+Sun!L47+Sat!L47)</f>
        <v>0</v>
      </c>
      <c r="M47" s="103">
        <f>('Thurs (2)'!M47+Thurs!M47+'Tues '!M47+Wed!M47+Fri!M47+'Mon '!M47+'Wed (2)'!M47+Sun!M47+Sat!M47)</f>
        <v>0</v>
      </c>
      <c r="N47" s="103">
        <f>('Thurs (2)'!N47+Thurs!N47+'Tues '!N47+Wed!N47+Fri!N47+'Mon '!N47+'Wed (2)'!N47+Sun!N47+Sat!N47)</f>
        <v>1</v>
      </c>
      <c r="O47" s="103">
        <f>('Thurs (2)'!O47+Thurs!O47+'Tues '!O47+Wed!O47+Fri!O47+'Mon '!O47+'Wed (2)'!O47+Sun!O47+Sat!O47)</f>
        <v>1</v>
      </c>
      <c r="P47" s="103">
        <f>('Thurs (2)'!P47+Thurs!P47+'Tues '!P47+Wed!P47+Fri!P47+'Mon '!P47+'Wed (2)'!P47+Sun!P47+Sat!P47)</f>
        <v>0</v>
      </c>
      <c r="Q47" s="103">
        <f>('Thurs (2)'!Q47+Thurs!Q47+'Tues '!Q47+Wed!Q47+Fri!Q47+'Mon '!Q47+'Wed (2)'!Q47+Sun!Q47+Sat!Q47)</f>
        <v>0</v>
      </c>
      <c r="R47" s="103">
        <f>('Thurs (2)'!R47+Thurs!R47+'Tues '!R47+Wed!R47+Fri!R47+'Mon '!R47+'Wed (2)'!R47+Sun!R47+Sat!R47)</f>
        <v>0</v>
      </c>
      <c r="S47" s="103">
        <f>('Thurs (2)'!S47+Thurs!S47+'Tues '!S47+Wed!S47+Fri!S47+'Mon '!S47+'Wed (2)'!S47+Sun!S47+Sat!S47)</f>
        <v>0</v>
      </c>
      <c r="T47" s="103">
        <f>('Thurs (2)'!T47+Thurs!T47+'Tues '!T47+Wed!T47+Fri!T47+'Mon '!T47+'Wed (2)'!T47+Sun!T47+Sat!T47)</f>
        <v>1233</v>
      </c>
      <c r="U47" s="104">
        <f t="shared" si="2"/>
        <v>1</v>
      </c>
      <c r="V47" s="104">
        <f t="shared" si="3"/>
        <v>1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>
        <f>('Thurs (2)'!G48+Thurs!G48+'Tues '!G48+Wed!G48+Fri!G48+'Mon '!G48+'Wed (2)'!G48+Sun!G48+Sat!G48)</f>
        <v>0</v>
      </c>
      <c r="H48" s="103">
        <f>('Thurs (2)'!H48+Thurs!H48+'Tues '!H48+Wed!H48+Fri!H48+'Mon '!H48+'Wed (2)'!H48+Sun!H48+Sat!H48)</f>
        <v>0</v>
      </c>
      <c r="I48" s="103">
        <f>('Thurs (2)'!I48+Thurs!I48+'Tues '!I48+Wed!I48+Fri!I48+'Mon '!I48+'Wed (2)'!I48+Sun!I48+Sat!I48)</f>
        <v>0</v>
      </c>
      <c r="J48" s="103">
        <f>('Thurs (2)'!J48+Thurs!J48+'Tues '!J48+Wed!J48+Fri!J48+'Mon '!J48+'Wed (2)'!J48+Sun!J48+Sat!J48)</f>
        <v>0</v>
      </c>
      <c r="K48" s="103">
        <f>('Thurs (2)'!K48+Thurs!K48+'Tues '!K48+Wed!K48+Fri!K48+'Mon '!K48+'Wed (2)'!K48+Sun!K48+Sat!K48)</f>
        <v>0</v>
      </c>
      <c r="L48" s="103">
        <f>('Thurs (2)'!L48+Thurs!L48+'Tues '!L48+Wed!L48+Fri!L48+'Mon '!L48+'Wed (2)'!L48+Sun!L48+Sat!L48)</f>
        <v>0</v>
      </c>
      <c r="M48" s="103">
        <f>('Thurs (2)'!M48+Thurs!M48+'Tues '!M48+Wed!M48+Fri!M48+'Mon '!M48+'Wed (2)'!M48+Sun!M48+Sat!M48)</f>
        <v>0</v>
      </c>
      <c r="N48" s="103">
        <f>('Thurs (2)'!N48+Thurs!N48+'Tues '!N48+Wed!N48+Fri!N48+'Mon '!N48+'Wed (2)'!N48+Sun!N48+Sat!N48)</f>
        <v>0</v>
      </c>
      <c r="O48" s="103">
        <f>('Thurs (2)'!O48+Thurs!O48+'Tues '!O48+Wed!O48+Fri!O48+'Mon '!O48+'Wed (2)'!O48+Sun!O48+Sat!O48)</f>
        <v>0</v>
      </c>
      <c r="P48" s="103">
        <f>('Thurs (2)'!P48+Thurs!P48+'Tues '!P48+Wed!P48+Fri!P48+'Mon '!P48+'Wed (2)'!P48+Sun!P48+Sat!P48)</f>
        <v>0</v>
      </c>
      <c r="Q48" s="103">
        <f>('Thurs (2)'!Q48+Thurs!Q48+'Tues '!Q48+Wed!Q48+Fri!Q48+'Mon '!Q48+'Wed (2)'!Q48+Sun!Q48+Sat!Q48)</f>
        <v>0</v>
      </c>
      <c r="R48" s="103">
        <f>('Thurs (2)'!R48+Thurs!R48+'Tues '!R48+Wed!R48+Fri!R48+'Mon '!R48+'Wed (2)'!R48+Sun!R48+Sat!R48)</f>
        <v>0</v>
      </c>
      <c r="S48" s="103">
        <f>('Thurs (2)'!S48+Thurs!S48+'Tues '!S48+Wed!S48+Fri!S48+'Mon '!S48+'Wed (2)'!S48+Sun!S48+Sat!S48)</f>
        <v>0</v>
      </c>
      <c r="T48" s="103">
        <f>('Thurs (2)'!T48+Thurs!T48+'Tues '!T48+Wed!T48+Fri!T48+'Mon '!T48+'Wed (2)'!T48+Sun!T48+Sat!T48)</f>
        <v>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>
        <f>('Thurs (2)'!G49+Thurs!G49+'Tues '!G49+Wed!G49+Fri!G49+'Mon '!G49+'Wed (2)'!G49+Sun!G49+Sat!G49)</f>
        <v>2</v>
      </c>
      <c r="H49" s="103">
        <f>('Thurs (2)'!H49+Thurs!H49+'Tues '!H49+Wed!H49+Fri!H49+'Mon '!H49+'Wed (2)'!H49+Sun!H49+Sat!H49)</f>
        <v>1</v>
      </c>
      <c r="I49" s="103">
        <f>('Thurs (2)'!I49+Thurs!I49+'Tues '!I49+Wed!I49+Fri!I49+'Mon '!I49+'Wed (2)'!I49+Sun!I49+Sat!I49)</f>
        <v>0</v>
      </c>
      <c r="J49" s="103">
        <f>('Thurs (2)'!J49+Thurs!J49+'Tues '!J49+Wed!J49+Fri!J49+'Mon '!J49+'Wed (2)'!J49+Sun!J49+Sat!J49)</f>
        <v>0</v>
      </c>
      <c r="K49" s="103">
        <f>('Thurs (2)'!K49+Thurs!K49+'Tues '!K49+Wed!K49+Fri!K49+'Mon '!K49+'Wed (2)'!K49+Sun!K49+Sat!K49)</f>
        <v>0</v>
      </c>
      <c r="L49" s="103">
        <f>('Thurs (2)'!L49+Thurs!L49+'Tues '!L49+Wed!L49+Fri!L49+'Mon '!L49+'Wed (2)'!L49+Sun!L49+Sat!L49)</f>
        <v>0</v>
      </c>
      <c r="M49" s="103">
        <f>('Thurs (2)'!M49+Thurs!M49+'Tues '!M49+Wed!M49+Fri!M49+'Mon '!M49+'Wed (2)'!M49+Sun!M49+Sat!M49)</f>
        <v>2</v>
      </c>
      <c r="N49" s="103">
        <f>('Thurs (2)'!N49+Thurs!N49+'Tues '!N49+Wed!N49+Fri!N49+'Mon '!N49+'Wed (2)'!N49+Sun!N49+Sat!N49)</f>
        <v>1</v>
      </c>
      <c r="O49" s="103">
        <f>('Thurs (2)'!O49+Thurs!O49+'Tues '!O49+Wed!O49+Fri!O49+'Mon '!O49+'Wed (2)'!O49+Sun!O49+Sat!O49)</f>
        <v>0</v>
      </c>
      <c r="P49" s="103">
        <f>('Thurs (2)'!P49+Thurs!P49+'Tues '!P49+Wed!P49+Fri!P49+'Mon '!P49+'Wed (2)'!P49+Sun!P49+Sat!P49)</f>
        <v>0</v>
      </c>
      <c r="Q49" s="103">
        <f>('Thurs (2)'!Q49+Thurs!Q49+'Tues '!Q49+Wed!Q49+Fri!Q49+'Mon '!Q49+'Wed (2)'!Q49+Sun!Q49+Sat!Q49)</f>
        <v>0</v>
      </c>
      <c r="R49" s="103">
        <f>('Thurs (2)'!R49+Thurs!R49+'Tues '!R49+Wed!R49+Fri!R49+'Mon '!R49+'Wed (2)'!R49+Sun!R49+Sat!R49)</f>
        <v>0</v>
      </c>
      <c r="S49" s="103">
        <f>('Thurs (2)'!S49+Thurs!S49+'Tues '!S49+Wed!S49+Fri!S49+'Mon '!S49+'Wed (2)'!S49+Sun!S49+Sat!S49)</f>
        <v>0</v>
      </c>
      <c r="T49" s="103">
        <f>('Thurs (2)'!T49+Thurs!T49+'Tues '!T49+Wed!T49+Fri!T49+'Mon '!T49+'Wed (2)'!T49+Sun!T49+Sat!T49)</f>
        <v>0</v>
      </c>
      <c r="U49" s="104">
        <f t="shared" si="2"/>
        <v>0</v>
      </c>
      <c r="V49" s="104">
        <f t="shared" si="3"/>
        <v>0.5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>
        <f>('Thurs (2)'!G50+Thurs!G50+'Tues '!G50+Wed!G50+Fri!G50+'Mon '!G50+'Wed (2)'!G50+Sun!G50+Sat!G50)</f>
        <v>0</v>
      </c>
      <c r="H50" s="103">
        <f>('Thurs (2)'!H50+Thurs!H50+'Tues '!H50+Wed!H50+Fri!H50+'Mon '!H50+'Wed (2)'!H50+Sun!H50+Sat!H50)</f>
        <v>0</v>
      </c>
      <c r="I50" s="103">
        <f>('Thurs (2)'!I50+Thurs!I50+'Tues '!I50+Wed!I50+Fri!I50+'Mon '!I50+'Wed (2)'!I50+Sun!I50+Sat!I50)</f>
        <v>0</v>
      </c>
      <c r="J50" s="103">
        <f>('Thurs (2)'!J50+Thurs!J50+'Tues '!J50+Wed!J50+Fri!J50+'Mon '!J50+'Wed (2)'!J50+Sun!J50+Sat!J50)</f>
        <v>0</v>
      </c>
      <c r="K50" s="103">
        <f>('Thurs (2)'!K50+Thurs!K50+'Tues '!K50+Wed!K50+Fri!K50+'Mon '!K50+'Wed (2)'!K50+Sun!K50+Sat!K50)</f>
        <v>0</v>
      </c>
      <c r="L50" s="103">
        <f>('Thurs (2)'!L50+Thurs!L50+'Tues '!L50+Wed!L50+Fri!L50+'Mon '!L50+'Wed (2)'!L50+Sun!L50+Sat!L50)</f>
        <v>0</v>
      </c>
      <c r="M50" s="103">
        <f>('Thurs (2)'!M50+Thurs!M50+'Tues '!M50+Wed!M50+Fri!M50+'Mon '!M50+'Wed (2)'!M50+Sun!M50+Sat!M50)</f>
        <v>0</v>
      </c>
      <c r="N50" s="103">
        <f>('Thurs (2)'!N50+Thurs!N50+'Tues '!N50+Wed!N50+Fri!N50+'Mon '!N50+'Wed (2)'!N50+Sun!N50+Sat!N50)</f>
        <v>0</v>
      </c>
      <c r="O50" s="103">
        <f>('Thurs (2)'!O50+Thurs!O50+'Tues '!O50+Wed!O50+Fri!O50+'Mon '!O50+'Wed (2)'!O50+Sun!O50+Sat!O50)</f>
        <v>0</v>
      </c>
      <c r="P50" s="103">
        <f>('Thurs (2)'!P50+Thurs!P50+'Tues '!P50+Wed!P50+Fri!P50+'Mon '!P50+'Wed (2)'!P50+Sun!P50+Sat!P50)</f>
        <v>0</v>
      </c>
      <c r="Q50" s="103">
        <f>('Thurs (2)'!Q50+Thurs!Q50+'Tues '!Q50+Wed!Q50+Fri!Q50+'Mon '!Q50+'Wed (2)'!Q50+Sun!Q50+Sat!Q50)</f>
        <v>0</v>
      </c>
      <c r="R50" s="103">
        <f>('Thurs (2)'!R50+Thurs!R50+'Tues '!R50+Wed!R50+Fri!R50+'Mon '!R50+'Wed (2)'!R50+Sun!R50+Sat!R50)</f>
        <v>0</v>
      </c>
      <c r="S50" s="103">
        <f>('Thurs (2)'!S50+Thurs!S50+'Tues '!S50+Wed!S50+Fri!S50+'Mon '!S50+'Wed (2)'!S50+Sun!S50+Sat!S50)</f>
        <v>0</v>
      </c>
      <c r="T50" s="103">
        <f>('Thurs (2)'!T50+Thurs!T50+'Tues '!T50+Wed!T50+Fri!T50+'Mon '!T50+'Wed (2)'!T50+Sun!T50+Sat!T50)</f>
        <v>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>
        <f>('Thurs (2)'!G51+Thurs!G51+'Tues '!G51+Wed!G51+Fri!G51+'Mon '!G51+'Wed (2)'!G51+Sun!G51+Sat!G51)</f>
        <v>0</v>
      </c>
      <c r="H51" s="103">
        <f>('Thurs (2)'!H51+Thurs!H51+'Tues '!H51+Wed!H51+Fri!H51+'Mon '!H51+'Wed (2)'!H51+Sun!H51+Sat!H51)</f>
        <v>0</v>
      </c>
      <c r="I51" s="103">
        <f>('Thurs (2)'!I51+Thurs!I51+'Tues '!I51+Wed!I51+Fri!I51+'Mon '!I51+'Wed (2)'!I51+Sun!I51+Sat!I51)</f>
        <v>0</v>
      </c>
      <c r="J51" s="103">
        <f>('Thurs (2)'!J51+Thurs!J51+'Tues '!J51+Wed!J51+Fri!J51+'Mon '!J51+'Wed (2)'!J51+Sun!J51+Sat!J51)</f>
        <v>0</v>
      </c>
      <c r="K51" s="103">
        <f>('Thurs (2)'!K51+Thurs!K51+'Tues '!K51+Wed!K51+Fri!K51+'Mon '!K51+'Wed (2)'!K51+Sun!K51+Sat!K51)</f>
        <v>0</v>
      </c>
      <c r="L51" s="103">
        <f>('Thurs (2)'!L51+Thurs!L51+'Tues '!L51+Wed!L51+Fri!L51+'Mon '!L51+'Wed (2)'!L51+Sun!L51+Sat!L51)</f>
        <v>0</v>
      </c>
      <c r="M51" s="103">
        <f>('Thurs (2)'!M51+Thurs!M51+'Tues '!M51+Wed!M51+Fri!M51+'Mon '!M51+'Wed (2)'!M51+Sun!M51+Sat!M51)</f>
        <v>0</v>
      </c>
      <c r="N51" s="103">
        <f>('Thurs (2)'!N51+Thurs!N51+'Tues '!N51+Wed!N51+Fri!N51+'Mon '!N51+'Wed (2)'!N51+Sun!N51+Sat!N51)</f>
        <v>0</v>
      </c>
      <c r="O51" s="103">
        <f>('Thurs (2)'!O51+Thurs!O51+'Tues '!O51+Wed!O51+Fri!O51+'Mon '!O51+'Wed (2)'!O51+Sun!O51+Sat!O51)</f>
        <v>0</v>
      </c>
      <c r="P51" s="103">
        <f>('Thurs (2)'!P51+Thurs!P51+'Tues '!P51+Wed!P51+Fri!P51+'Mon '!P51+'Wed (2)'!P51+Sun!P51+Sat!P51)</f>
        <v>0</v>
      </c>
      <c r="Q51" s="103">
        <f>('Thurs (2)'!Q51+Thurs!Q51+'Tues '!Q51+Wed!Q51+Fri!Q51+'Mon '!Q51+'Wed (2)'!Q51+Sun!Q51+Sat!Q51)</f>
        <v>0</v>
      </c>
      <c r="R51" s="103">
        <f>('Thurs (2)'!R51+Thurs!R51+'Tues '!R51+Wed!R51+Fri!R51+'Mon '!R51+'Wed (2)'!R51+Sun!R51+Sat!R51)</f>
        <v>0</v>
      </c>
      <c r="S51" s="103">
        <f>('Thurs (2)'!S51+Thurs!S51+'Tues '!S51+Wed!S51+Fri!S51+'Mon '!S51+'Wed (2)'!S51+Sun!S51+Sat!S51)</f>
        <v>0</v>
      </c>
      <c r="T51" s="103">
        <f>('Thurs (2)'!T51+Thurs!T51+'Tues '!T51+Wed!T51+Fri!T51+'Mon '!T51+'Wed (2)'!T51+Sun!T51+Sat!T51)</f>
        <v>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>
        <f>('Thurs (2)'!G52+Thurs!G52+'Tues '!G52+Wed!G52+Fri!G52+'Mon '!G52+'Wed (2)'!G52+Sun!G52+Sat!G52)</f>
        <v>0</v>
      </c>
      <c r="H52" s="103">
        <f>('Thurs (2)'!H52+Thurs!H52+'Tues '!H52+Wed!H52+Fri!H52+'Mon '!H52+'Wed (2)'!H52+Sun!H52+Sat!H52)</f>
        <v>0</v>
      </c>
      <c r="I52" s="103">
        <f>('Thurs (2)'!I52+Thurs!I52+'Tues '!I52+Wed!I52+Fri!I52+'Mon '!I52+'Wed (2)'!I52+Sun!I52+Sat!I52)</f>
        <v>0</v>
      </c>
      <c r="J52" s="103">
        <f>('Thurs (2)'!J52+Thurs!J52+'Tues '!J52+Wed!J52+Fri!J52+'Mon '!J52+'Wed (2)'!J52+Sun!J52+Sat!J52)</f>
        <v>0</v>
      </c>
      <c r="K52" s="103">
        <f>('Thurs (2)'!K52+Thurs!K52+'Tues '!K52+Wed!K52+Fri!K52+'Mon '!K52+'Wed (2)'!K52+Sun!K52+Sat!K52)</f>
        <v>0</v>
      </c>
      <c r="L52" s="103">
        <f>('Thurs (2)'!L52+Thurs!L52+'Tues '!L52+Wed!L52+Fri!L52+'Mon '!L52+'Wed (2)'!L52+Sun!L52+Sat!L52)</f>
        <v>0</v>
      </c>
      <c r="M52" s="103">
        <f>('Thurs (2)'!M52+Thurs!M52+'Tues '!M52+Wed!M52+Fri!M52+'Mon '!M52+'Wed (2)'!M52+Sun!M52+Sat!M52)</f>
        <v>0</v>
      </c>
      <c r="N52" s="103">
        <f>('Thurs (2)'!N52+Thurs!N52+'Tues '!N52+Wed!N52+Fri!N52+'Mon '!N52+'Wed (2)'!N52+Sun!N52+Sat!N52)</f>
        <v>0</v>
      </c>
      <c r="O52" s="103">
        <f>('Thurs (2)'!O52+Thurs!O52+'Tues '!O52+Wed!O52+Fri!O52+'Mon '!O52+'Wed (2)'!O52+Sun!O52+Sat!O52)</f>
        <v>0</v>
      </c>
      <c r="P52" s="103">
        <f>('Thurs (2)'!P52+Thurs!P52+'Tues '!P52+Wed!P52+Fri!P52+'Mon '!P52+'Wed (2)'!P52+Sun!P52+Sat!P52)</f>
        <v>0</v>
      </c>
      <c r="Q52" s="103">
        <f>('Thurs (2)'!Q52+Thurs!Q52+'Tues '!Q52+Wed!Q52+Fri!Q52+'Mon '!Q52+'Wed (2)'!Q52+Sun!Q52+Sat!Q52)</f>
        <v>0</v>
      </c>
      <c r="R52" s="103">
        <f>('Thurs (2)'!R52+Thurs!R52+'Tues '!R52+Wed!R52+Fri!R52+'Mon '!R52+'Wed (2)'!R52+Sun!R52+Sat!R52)</f>
        <v>0</v>
      </c>
      <c r="S52" s="103">
        <f>('Thurs (2)'!S52+Thurs!S52+'Tues '!S52+Wed!S52+Fri!S52+'Mon '!S52+'Wed (2)'!S52+Sun!S52+Sat!S52)</f>
        <v>0</v>
      </c>
      <c r="T52" s="103">
        <f>('Thurs (2)'!T52+Thurs!T52+'Tues '!T52+Wed!T52+Fri!T52+'Mon '!T52+'Wed (2)'!T52+Sun!T52+Sat!T52)</f>
        <v>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>
        <f>('Thurs (2)'!G53+Thurs!G53+'Tues '!G53+Wed!G53+Fri!G53+'Mon '!G53+'Wed (2)'!G53+Sun!G53+Sat!G53)</f>
        <v>0</v>
      </c>
      <c r="H53" s="103">
        <f>('Thurs (2)'!H53+Thurs!H53+'Tues '!H53+Wed!H53+Fri!H53+'Mon '!H53+'Wed (2)'!H53+Sun!H53+Sat!H53)</f>
        <v>0</v>
      </c>
      <c r="I53" s="103">
        <f>('Thurs (2)'!I53+Thurs!I53+'Tues '!I53+Wed!I53+Fri!I53+'Mon '!I53+'Wed (2)'!I53+Sun!I53+Sat!I53)</f>
        <v>0</v>
      </c>
      <c r="J53" s="103">
        <f>('Thurs (2)'!J53+Thurs!J53+'Tues '!J53+Wed!J53+Fri!J53+'Mon '!J53+'Wed (2)'!J53+Sun!J53+Sat!J53)</f>
        <v>0</v>
      </c>
      <c r="K53" s="103">
        <f>('Thurs (2)'!K53+Thurs!K53+'Tues '!K53+Wed!K53+Fri!K53+'Mon '!K53+'Wed (2)'!K53+Sun!K53+Sat!K53)</f>
        <v>0</v>
      </c>
      <c r="L53" s="103">
        <f>('Thurs (2)'!L53+Thurs!L53+'Tues '!L53+Wed!L53+Fri!L53+'Mon '!L53+'Wed (2)'!L53+Sun!L53+Sat!L53)</f>
        <v>0</v>
      </c>
      <c r="M53" s="103">
        <f>('Thurs (2)'!M53+Thurs!M53+'Tues '!M53+Wed!M53+Fri!M53+'Mon '!M53+'Wed (2)'!M53+Sun!M53+Sat!M53)</f>
        <v>0</v>
      </c>
      <c r="N53" s="103">
        <f>('Thurs (2)'!N53+Thurs!N53+'Tues '!N53+Wed!N53+Fri!N53+'Mon '!N53+'Wed (2)'!N53+Sun!N53+Sat!N53)</f>
        <v>0</v>
      </c>
      <c r="O53" s="103">
        <f>('Thurs (2)'!O53+Thurs!O53+'Tues '!O53+Wed!O53+Fri!O53+'Mon '!O53+'Wed (2)'!O53+Sun!O53+Sat!O53)</f>
        <v>0</v>
      </c>
      <c r="P53" s="103">
        <f>('Thurs (2)'!P53+Thurs!P53+'Tues '!P53+Wed!P53+Fri!P53+'Mon '!P53+'Wed (2)'!P53+Sun!P53+Sat!P53)</f>
        <v>0</v>
      </c>
      <c r="Q53" s="103">
        <f>('Thurs (2)'!Q53+Thurs!Q53+'Tues '!Q53+Wed!Q53+Fri!Q53+'Mon '!Q53+'Wed (2)'!Q53+Sun!Q53+Sat!Q53)</f>
        <v>0</v>
      </c>
      <c r="R53" s="103">
        <f>('Thurs (2)'!R53+Thurs!R53+'Tues '!R53+Wed!R53+Fri!R53+'Mon '!R53+'Wed (2)'!R53+Sun!R53+Sat!R53)</f>
        <v>0</v>
      </c>
      <c r="S53" s="103">
        <f>('Thurs (2)'!S53+Thurs!S53+'Tues '!S53+Wed!S53+Fri!S53+'Mon '!S53+'Wed (2)'!S53+Sun!S53+Sat!S53)</f>
        <v>0</v>
      </c>
      <c r="T53" s="103">
        <f>('Thurs (2)'!T53+Thurs!T53+'Tues '!T53+Wed!T53+Fri!T53+'Mon '!T53+'Wed (2)'!T53+Sun!T53+Sat!T53)</f>
        <v>0</v>
      </c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>
        <f>('Thurs (2)'!G54+Thurs!G54+'Tues '!G54+Wed!G54+Fri!G54+'Mon '!G54+'Wed (2)'!G54+Sun!G54+Sat!G54)</f>
        <v>0</v>
      </c>
      <c r="H54" s="103">
        <f>('Thurs (2)'!H54+Thurs!H54+'Tues '!H54+Wed!H54+Fri!H54+'Mon '!H54+'Wed (2)'!H54+Sun!H54+Sat!H54)</f>
        <v>0</v>
      </c>
      <c r="I54" s="103">
        <f>('Thurs (2)'!I54+Thurs!I54+'Tues '!I54+Wed!I54+Fri!I54+'Mon '!I54+'Wed (2)'!I54+Sun!I54+Sat!I54)</f>
        <v>0</v>
      </c>
      <c r="J54" s="103">
        <f>('Thurs (2)'!J54+Thurs!J54+'Tues '!J54+Wed!J54+Fri!J54+'Mon '!J54+'Wed (2)'!J54+Sun!J54+Sat!J54)</f>
        <v>0</v>
      </c>
      <c r="K54" s="103">
        <f>('Thurs (2)'!K54+Thurs!K54+'Tues '!K54+Wed!K54+Fri!K54+'Mon '!K54+'Wed (2)'!K54+Sun!K54+Sat!K54)</f>
        <v>0</v>
      </c>
      <c r="L54" s="103">
        <f>('Thurs (2)'!L54+Thurs!L54+'Tues '!L54+Wed!L54+Fri!L54+'Mon '!L54+'Wed (2)'!L54+Sun!L54+Sat!L54)</f>
        <v>0</v>
      </c>
      <c r="M54" s="103">
        <f>('Thurs (2)'!M54+Thurs!M54+'Tues '!M54+Wed!M54+Fri!M54+'Mon '!M54+'Wed (2)'!M54+Sun!M54+Sat!M54)</f>
        <v>0</v>
      </c>
      <c r="N54" s="103">
        <f>('Thurs (2)'!N54+Thurs!N54+'Tues '!N54+Wed!N54+Fri!N54+'Mon '!N54+'Wed (2)'!N54+Sun!N54+Sat!N54)</f>
        <v>0</v>
      </c>
      <c r="O54" s="103">
        <f>('Thurs (2)'!O54+Thurs!O54+'Tues '!O54+Wed!O54+Fri!O54+'Mon '!O54+'Wed (2)'!O54+Sun!O54+Sat!O54)</f>
        <v>0</v>
      </c>
      <c r="P54" s="103">
        <f>('Thurs (2)'!P54+Thurs!P54+'Tues '!P54+Wed!P54+Fri!P54+'Mon '!P54+'Wed (2)'!P54+Sun!P54+Sat!P54)</f>
        <v>0</v>
      </c>
      <c r="Q54" s="103">
        <f>('Thurs (2)'!Q54+Thurs!Q54+'Tues '!Q54+Wed!Q54+Fri!Q54+'Mon '!Q54+'Wed (2)'!Q54+Sun!Q54+Sat!Q54)</f>
        <v>0</v>
      </c>
      <c r="R54" s="103">
        <f>('Thurs (2)'!R54+Thurs!R54+'Tues '!R54+Wed!R54+Fri!R54+'Mon '!R54+'Wed (2)'!R54+Sun!R54+Sat!R54)</f>
        <v>0</v>
      </c>
      <c r="S54" s="103">
        <f>('Thurs (2)'!S54+Thurs!S54+'Tues '!S54+Wed!S54+Fri!S54+'Mon '!S54+'Wed (2)'!S54+Sun!S54+Sat!S54)</f>
        <v>0</v>
      </c>
      <c r="T54" s="103">
        <f>('Thurs (2)'!T54+Thurs!T54+'Tues '!T54+Wed!T54+Fri!T54+'Mon '!T54+'Wed (2)'!T54+Sun!T54+Sat!T54)</f>
        <v>0</v>
      </c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>
        <f>('Thurs (2)'!G55+Thurs!G55+'Tues '!G55+Wed!G55+Fri!G55+'Mon '!G55+'Wed (2)'!G55+Sun!G55+Sat!G55)</f>
        <v>0</v>
      </c>
      <c r="H55" s="103">
        <f>('Thurs (2)'!H55+Thurs!H55+'Tues '!H55+Wed!H55+Fri!H55+'Mon '!H55+'Wed (2)'!H55+Sun!H55+Sat!H55)</f>
        <v>0</v>
      </c>
      <c r="I55" s="103">
        <f>('Thurs (2)'!I55+Thurs!I55+'Tues '!I55+Wed!I55+Fri!I55+'Mon '!I55+'Wed (2)'!I55+Sun!I55+Sat!I55)</f>
        <v>0</v>
      </c>
      <c r="J55" s="103">
        <f>('Thurs (2)'!J55+Thurs!J55+'Tues '!J55+Wed!J55+Fri!J55+'Mon '!J55+'Wed (2)'!J55+Sun!J55+Sat!J55)</f>
        <v>0</v>
      </c>
      <c r="K55" s="103">
        <f>('Thurs (2)'!K55+Thurs!K55+'Tues '!K55+Wed!K55+Fri!K55+'Mon '!K55+'Wed (2)'!K55+Sun!K55+Sat!K55)</f>
        <v>0</v>
      </c>
      <c r="L55" s="103">
        <f>('Thurs (2)'!L55+Thurs!L55+'Tues '!L55+Wed!L55+Fri!L55+'Mon '!L55+'Wed (2)'!L55+Sun!L55+Sat!L55)</f>
        <v>0</v>
      </c>
      <c r="M55" s="103">
        <f>('Thurs (2)'!M55+Thurs!M55+'Tues '!M55+Wed!M55+Fri!M55+'Mon '!M55+'Wed (2)'!M55+Sun!M55+Sat!M55)</f>
        <v>0</v>
      </c>
      <c r="N55" s="103">
        <f>('Thurs (2)'!N55+Thurs!N55+'Tues '!N55+Wed!N55+Fri!N55+'Mon '!N55+'Wed (2)'!N55+Sun!N55+Sat!N55)</f>
        <v>0</v>
      </c>
      <c r="O55" s="103">
        <f>('Thurs (2)'!O55+Thurs!O55+'Tues '!O55+Wed!O55+Fri!O55+'Mon '!O55+'Wed (2)'!O55+Sun!O55+Sat!O55)</f>
        <v>0</v>
      </c>
      <c r="P55" s="103">
        <f>('Thurs (2)'!P55+Thurs!P55+'Tues '!P55+Wed!P55+Fri!P55+'Mon '!P55+'Wed (2)'!P55+Sun!P55+Sat!P55)</f>
        <v>0</v>
      </c>
      <c r="Q55" s="103">
        <f>('Thurs (2)'!Q55+Thurs!Q55+'Tues '!Q55+Wed!Q55+Fri!Q55+'Mon '!Q55+'Wed (2)'!Q55+Sun!Q55+Sat!Q55)</f>
        <v>0</v>
      </c>
      <c r="R55" s="103">
        <f>('Thurs (2)'!R55+Thurs!R55+'Tues '!R55+Wed!R55+Fri!R55+'Mon '!R55+'Wed (2)'!R55+Sun!R55+Sat!R55)</f>
        <v>0</v>
      </c>
      <c r="S55" s="103">
        <f>('Thurs (2)'!S55+Thurs!S55+'Tues '!S55+Wed!S55+Fri!S55+'Mon '!S55+'Wed (2)'!S55+Sun!S55+Sat!S55)</f>
        <v>0</v>
      </c>
      <c r="T55" s="103">
        <f>('Thurs (2)'!T55+Thurs!T55+'Tues '!T55+Wed!T55+Fri!T55+'Mon '!T55+'Wed (2)'!T55+Sun!T55+Sat!T55)</f>
        <v>0</v>
      </c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>
        <f>('Thurs (2)'!G56+Thurs!G56+'Tues '!G56+Wed!G56+Fri!G56+'Mon '!G56+'Wed (2)'!G56+Sun!G56+Sat!G56)</f>
        <v>0</v>
      </c>
      <c r="H56" s="103">
        <f>('Thurs (2)'!H56+Thurs!H56+'Tues '!H56+Wed!H56+Fri!H56+'Mon '!H56+'Wed (2)'!H56+Sun!H56+Sat!H56)</f>
        <v>0</v>
      </c>
      <c r="I56" s="103">
        <f>('Thurs (2)'!I56+Thurs!I56+'Tues '!I56+Wed!I56+Fri!I56+'Mon '!I56+'Wed (2)'!I56+Sun!I56+Sat!I56)</f>
        <v>0</v>
      </c>
      <c r="J56" s="103">
        <f>('Thurs (2)'!J56+Thurs!J56+'Tues '!J56+Wed!J56+Fri!J56+'Mon '!J56+'Wed (2)'!J56+Sun!J56+Sat!J56)</f>
        <v>0</v>
      </c>
      <c r="K56" s="103">
        <f>('Thurs (2)'!K56+Thurs!K56+'Tues '!K56+Wed!K56+Fri!K56+'Mon '!K56+'Wed (2)'!K56+Sun!K56+Sat!K56)</f>
        <v>0</v>
      </c>
      <c r="L56" s="103">
        <f>('Thurs (2)'!L56+Thurs!L56+'Tues '!L56+Wed!L56+Fri!L56+'Mon '!L56+'Wed (2)'!L56+Sun!L56+Sat!L56)</f>
        <v>0</v>
      </c>
      <c r="M56" s="103">
        <f>('Thurs (2)'!M56+Thurs!M56+'Tues '!M56+Wed!M56+Fri!M56+'Mon '!M56+'Wed (2)'!M56+Sun!M56+Sat!M56)</f>
        <v>0</v>
      </c>
      <c r="N56" s="103">
        <f>('Thurs (2)'!N56+Thurs!N56+'Tues '!N56+Wed!N56+Fri!N56+'Mon '!N56+'Wed (2)'!N56+Sun!N56+Sat!N56)</f>
        <v>0</v>
      </c>
      <c r="O56" s="103">
        <f>('Thurs (2)'!O56+Thurs!O56+'Tues '!O56+Wed!O56+Fri!O56+'Mon '!O56+'Wed (2)'!O56+Sun!O56+Sat!O56)</f>
        <v>0</v>
      </c>
      <c r="P56" s="103">
        <f>('Thurs (2)'!P56+Thurs!P56+'Tues '!P56+Wed!P56+Fri!P56+'Mon '!P56+'Wed (2)'!P56+Sun!P56+Sat!P56)</f>
        <v>0</v>
      </c>
      <c r="Q56" s="103">
        <f>('Thurs (2)'!Q56+Thurs!Q56+'Tues '!Q56+Wed!Q56+Fri!Q56+'Mon '!Q56+'Wed (2)'!Q56+Sun!Q56+Sat!Q56)</f>
        <v>0</v>
      </c>
      <c r="R56" s="103">
        <f>('Thurs (2)'!R56+Thurs!R56+'Tues '!R56+Wed!R56+Fri!R56+'Mon '!R56+'Wed (2)'!R56+Sun!R56+Sat!R56)</f>
        <v>0</v>
      </c>
      <c r="S56" s="103">
        <f>('Thurs (2)'!S56+Thurs!S56+'Tues '!S56+Wed!S56+Fri!S56+'Mon '!S56+'Wed (2)'!S56+Sun!S56+Sat!S56)</f>
        <v>0</v>
      </c>
      <c r="T56" s="103">
        <f>('Thurs (2)'!T56+Thurs!T56+'Tues '!T56+Wed!T56+Fri!T56+'Mon '!T56+'Wed (2)'!T56+Sun!T56+Sat!T56)</f>
        <v>0</v>
      </c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>
        <f>('Thurs (2)'!G57+Thurs!G57+'Tues '!G57+Wed!G57+Fri!G57+'Mon '!G57+'Wed (2)'!G57+Sun!G57+Sat!G57)</f>
        <v>0</v>
      </c>
      <c r="H57" s="103">
        <f>('Thurs (2)'!H57+Thurs!H57+'Tues '!H57+Wed!H57+Fri!H57+'Mon '!H57+'Wed (2)'!H57+Sun!H57+Sat!H57)</f>
        <v>0</v>
      </c>
      <c r="I57" s="103">
        <f>('Thurs (2)'!I57+Thurs!I57+'Tues '!I57+Wed!I57+Fri!I57+'Mon '!I57+'Wed (2)'!I57+Sun!I57+Sat!I57)</f>
        <v>0</v>
      </c>
      <c r="J57" s="103">
        <f>('Thurs (2)'!J57+Thurs!J57+'Tues '!J57+Wed!J57+Fri!J57+'Mon '!J57+'Wed (2)'!J57+Sun!J57+Sat!J57)</f>
        <v>0</v>
      </c>
      <c r="K57" s="103">
        <f>('Thurs (2)'!K57+Thurs!K57+'Tues '!K57+Wed!K57+Fri!K57+'Mon '!K57+'Wed (2)'!K57+Sun!K57+Sat!K57)</f>
        <v>0</v>
      </c>
      <c r="L57" s="103">
        <f>('Thurs (2)'!L57+Thurs!L57+'Tues '!L57+Wed!L57+Fri!L57+'Mon '!L57+'Wed (2)'!L57+Sun!L57+Sat!L57)</f>
        <v>0</v>
      </c>
      <c r="M57" s="103">
        <f>('Thurs (2)'!M57+Thurs!M57+'Tues '!M57+Wed!M57+Fri!M57+'Mon '!M57+'Wed (2)'!M57+Sun!M57+Sat!M57)</f>
        <v>0</v>
      </c>
      <c r="N57" s="103">
        <f>('Thurs (2)'!N57+Thurs!N57+'Tues '!N57+Wed!N57+Fri!N57+'Mon '!N57+'Wed (2)'!N57+Sun!N57+Sat!N57)</f>
        <v>0</v>
      </c>
      <c r="O57" s="103">
        <f>('Thurs (2)'!O57+Thurs!O57+'Tues '!O57+Wed!O57+Fri!O57+'Mon '!O57+'Wed (2)'!O57+Sun!O57+Sat!O57)</f>
        <v>0</v>
      </c>
      <c r="P57" s="103">
        <f>('Thurs (2)'!P57+Thurs!P57+'Tues '!P57+Wed!P57+Fri!P57+'Mon '!P57+'Wed (2)'!P57+Sun!P57+Sat!P57)</f>
        <v>0</v>
      </c>
      <c r="Q57" s="103">
        <f>('Thurs (2)'!Q57+Thurs!Q57+'Tues '!Q57+Wed!Q57+Fri!Q57+'Mon '!Q57+'Wed (2)'!Q57+Sun!Q57+Sat!Q57)</f>
        <v>0</v>
      </c>
      <c r="R57" s="103">
        <f>('Thurs (2)'!R57+Thurs!R57+'Tues '!R57+Wed!R57+Fri!R57+'Mon '!R57+'Wed (2)'!R57+Sun!R57+Sat!R57)</f>
        <v>0</v>
      </c>
      <c r="S57" s="103">
        <f>('Thurs (2)'!S57+Thurs!S57+'Tues '!S57+Wed!S57+Fri!S57+'Mon '!S57+'Wed (2)'!S57+Sun!S57+Sat!S57)</f>
        <v>0</v>
      </c>
      <c r="T57" s="103">
        <f>('Thurs (2)'!T57+Thurs!T57+'Tues '!T57+Wed!T57+Fri!T57+'Mon '!T57+'Wed (2)'!T57+Sun!T57+Sat!T57)</f>
        <v>0</v>
      </c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>
        <f>('Thurs (2)'!G58+Thurs!G58+'Tues '!G58+Wed!G58+Fri!G58+'Mon '!G58+'Wed (2)'!G58+Sun!G58+Sat!G58)</f>
        <v>7</v>
      </c>
      <c r="H58" s="103">
        <f>('Thurs (2)'!H58+Thurs!H58+'Tues '!H58+Wed!H58+Fri!H58+'Mon '!H58+'Wed (2)'!H58+Sun!H58+Sat!H58)</f>
        <v>3</v>
      </c>
      <c r="I58" s="103">
        <f>('Thurs (2)'!I58+Thurs!I58+'Tues '!I58+Wed!I58+Fri!I58+'Mon '!I58+'Wed (2)'!I58+Sun!I58+Sat!I58)</f>
        <v>1</v>
      </c>
      <c r="J58" s="103">
        <f>('Thurs (2)'!J58+Thurs!J58+'Tues '!J58+Wed!J58+Fri!J58+'Mon '!J58+'Wed (2)'!J58+Sun!J58+Sat!J58)</f>
        <v>1</v>
      </c>
      <c r="K58" s="103">
        <f>('Thurs (2)'!K58+Thurs!K58+'Tues '!K58+Wed!K58+Fri!K58+'Mon '!K58+'Wed (2)'!K58+Sun!K58+Sat!K58)</f>
        <v>1</v>
      </c>
      <c r="L58" s="103">
        <f>('Thurs (2)'!L58+Thurs!L58+'Tues '!L58+Wed!L58+Fri!L58+'Mon '!L58+'Wed (2)'!L58+Sun!L58+Sat!L58)</f>
        <v>0</v>
      </c>
      <c r="M58" s="103">
        <f>('Thurs (2)'!M58+Thurs!M58+'Tues '!M58+Wed!M58+Fri!M58+'Mon '!M58+'Wed (2)'!M58+Sun!M58+Sat!M58)</f>
        <v>4</v>
      </c>
      <c r="N58" s="103">
        <f>('Thurs (2)'!N58+Thurs!N58+'Tues '!N58+Wed!N58+Fri!N58+'Mon '!N58+'Wed (2)'!N58+Sun!N58+Sat!N58)</f>
        <v>1</v>
      </c>
      <c r="O58" s="103">
        <f>('Thurs (2)'!O58+Thurs!O58+'Tues '!O58+Wed!O58+Fri!O58+'Mon '!O58+'Wed (2)'!O58+Sun!O58+Sat!O58)</f>
        <v>1</v>
      </c>
      <c r="P58" s="103">
        <f>('Thurs (2)'!P58+Thurs!P58+'Tues '!P58+Wed!P58+Fri!P58+'Mon '!P58+'Wed (2)'!P58+Sun!P58+Sat!P58)</f>
        <v>0</v>
      </c>
      <c r="Q58" s="103">
        <f>('Thurs (2)'!Q58+Thurs!Q58+'Tues '!Q58+Wed!Q58+Fri!Q58+'Mon '!Q58+'Wed (2)'!Q58+Sun!Q58+Sat!Q58)</f>
        <v>0</v>
      </c>
      <c r="R58" s="103">
        <f>('Thurs (2)'!R58+Thurs!R58+'Tues '!R58+Wed!R58+Fri!R58+'Mon '!R58+'Wed (2)'!R58+Sun!R58+Sat!R58)</f>
        <v>0</v>
      </c>
      <c r="S58" s="103">
        <f>('Thurs (2)'!S58+Thurs!S58+'Tues '!S58+Wed!S58+Fri!S58+'Mon '!S58+'Wed (2)'!S58+Sun!S58+Sat!S58)</f>
        <v>0</v>
      </c>
      <c r="T58" s="103">
        <f>('Thurs (2)'!T58+Thurs!T58+'Tues '!T58+Wed!T58+Fri!T58+'Mon '!T58+'Wed (2)'!T58+Sun!T58+Sat!T58)</f>
        <v>1133.76</v>
      </c>
      <c r="U58" s="104">
        <f t="shared" si="2"/>
        <v>0.3333333333</v>
      </c>
      <c r="V58" s="104">
        <f t="shared" si="3"/>
        <v>0.4285714286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 t="s">
        <v>53</v>
      </c>
      <c r="F59" s="136" t="s">
        <v>80</v>
      </c>
      <c r="G59" s="103">
        <f>('Thurs (2)'!G59+Thurs!G59+'Tues '!G59+Wed!G59+Fri!G59+'Mon '!G59+'Wed (2)'!G59+Sun!G59+Sat!G59)</f>
        <v>1</v>
      </c>
      <c r="H59" s="103">
        <f>('Thurs (2)'!H59+Thurs!H59+'Tues '!H59+Wed!H59+Fri!H59+'Mon '!H59+'Wed (2)'!H59+Sun!H59+Sat!H59)</f>
        <v>0</v>
      </c>
      <c r="I59" s="103">
        <f>('Thurs (2)'!I59+Thurs!I59+'Tues '!I59+Wed!I59+Fri!I59+'Mon '!I59+'Wed (2)'!I59+Sun!I59+Sat!I59)</f>
        <v>0</v>
      </c>
      <c r="J59" s="103">
        <f>('Thurs (2)'!J59+Thurs!J59+'Tues '!J59+Wed!J59+Fri!J59+'Mon '!J59+'Wed (2)'!J59+Sun!J59+Sat!J59)</f>
        <v>0</v>
      </c>
      <c r="K59" s="103">
        <f>('Thurs (2)'!K59+Thurs!K59+'Tues '!K59+Wed!K59+Fri!K59+'Mon '!K59+'Wed (2)'!K59+Sun!K59+Sat!K59)</f>
        <v>0</v>
      </c>
      <c r="L59" s="103">
        <f>('Thurs (2)'!L59+Thurs!L59+'Tues '!L59+Wed!L59+Fri!L59+'Mon '!L59+'Wed (2)'!L59+Sun!L59+Sat!L59)</f>
        <v>0</v>
      </c>
      <c r="M59" s="103">
        <f>('Thurs (2)'!M59+Thurs!M59+'Tues '!M59+Wed!M59+Fri!M59+'Mon '!M59+'Wed (2)'!M59+Sun!M59+Sat!M59)</f>
        <v>0</v>
      </c>
      <c r="N59" s="103">
        <f>('Thurs (2)'!N59+Thurs!N59+'Tues '!N59+Wed!N59+Fri!N59+'Mon '!N59+'Wed (2)'!N59+Sun!N59+Sat!N59)</f>
        <v>0</v>
      </c>
      <c r="O59" s="103">
        <f>('Thurs (2)'!O59+Thurs!O59+'Tues '!O59+Wed!O59+Fri!O59+'Mon '!O59+'Wed (2)'!O59+Sun!O59+Sat!O59)</f>
        <v>0</v>
      </c>
      <c r="P59" s="103">
        <f>('Thurs (2)'!P59+Thurs!P59+'Tues '!P59+Wed!P59+Fri!P59+'Mon '!P59+'Wed (2)'!P59+Sun!P59+Sat!P59)</f>
        <v>0</v>
      </c>
      <c r="Q59" s="103">
        <f>('Thurs (2)'!Q59+Thurs!Q59+'Tues '!Q59+Wed!Q59+Fri!Q59+'Mon '!Q59+'Wed (2)'!Q59+Sun!Q59+Sat!Q59)</f>
        <v>0</v>
      </c>
      <c r="R59" s="103">
        <f>('Thurs (2)'!R59+Thurs!R59+'Tues '!R59+Wed!R59+Fri!R59+'Mon '!R59+'Wed (2)'!R59+Sun!R59+Sat!R59)</f>
        <v>0</v>
      </c>
      <c r="S59" s="103">
        <f>('Thurs (2)'!S59+Thurs!S59+'Tues '!S59+Wed!S59+Fri!S59+'Mon '!S59+'Wed (2)'!S59+Sun!S59+Sat!S59)</f>
        <v>0</v>
      </c>
      <c r="T59" s="103">
        <f>('Thurs (2)'!T59+Thurs!T59+'Tues '!T59+Wed!T59+Fri!T59+'Mon '!T59+'Wed (2)'!T59+Sun!T59+Sat!T59)</f>
        <v>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27" t="s">
        <v>26</v>
      </c>
      <c r="B60" s="113" t="s">
        <v>30</v>
      </c>
      <c r="C60" s="113" t="s">
        <v>81</v>
      </c>
      <c r="D60" s="113" t="s">
        <v>52</v>
      </c>
      <c r="E60" s="113"/>
      <c r="F60" s="113" t="s">
        <v>81</v>
      </c>
      <c r="G60" s="103">
        <f>('Thurs (2)'!G60+Thurs!G60+'Tues '!G60+Wed!G60+Fri!G60+'Mon '!G60+'Wed (2)'!G60+Sun!G60+Sat!G60)</f>
        <v>8</v>
      </c>
      <c r="H60" s="103">
        <f>('Thurs (2)'!H60+Thurs!H60+'Tues '!H60+Wed!H60+Fri!H60+'Mon '!H60+'Wed (2)'!H60+Sun!H60+Sat!H60)</f>
        <v>5</v>
      </c>
      <c r="I60" s="103">
        <f>('Thurs (2)'!I60+Thurs!I60+'Tues '!I60+Wed!I60+Fri!I60+'Mon '!I60+'Wed (2)'!I60+Sun!I60+Sat!I60)</f>
        <v>0</v>
      </c>
      <c r="J60" s="103">
        <f>('Thurs (2)'!J60+Thurs!J60+'Tues '!J60+Wed!J60+Fri!J60+'Mon '!J60+'Wed (2)'!J60+Sun!J60+Sat!J60)</f>
        <v>2</v>
      </c>
      <c r="K60" s="103">
        <f>('Thurs (2)'!K60+Thurs!K60+'Tues '!K60+Wed!K60+Fri!K60+'Mon '!K60+'Wed (2)'!K60+Sun!K60+Sat!K60)</f>
        <v>0</v>
      </c>
      <c r="L60" s="103">
        <f>('Thurs (2)'!L60+Thurs!L60+'Tues '!L60+Wed!L60+Fri!L60+'Mon '!L60+'Wed (2)'!L60+Sun!L60+Sat!L60)</f>
        <v>0</v>
      </c>
      <c r="M60" s="103">
        <f>('Thurs (2)'!M60+Thurs!M60+'Tues '!M60+Wed!M60+Fri!M60+'Mon '!M60+'Wed (2)'!M60+Sun!M60+Sat!M60)</f>
        <v>22</v>
      </c>
      <c r="N60" s="103">
        <f>('Thurs (2)'!N60+Thurs!N60+'Tues '!N60+Wed!N60+Fri!N60+'Mon '!N60+'Wed (2)'!N60+Sun!N60+Sat!N60)</f>
        <v>4</v>
      </c>
      <c r="O60" s="103">
        <f>('Thurs (2)'!O60+Thurs!O60+'Tues '!O60+Wed!O60+Fri!O60+'Mon '!O60+'Wed (2)'!O60+Sun!O60+Sat!O60)</f>
        <v>0</v>
      </c>
      <c r="P60" s="103">
        <f>('Thurs (2)'!P60+Thurs!P60+'Tues '!P60+Wed!P60+Fri!P60+'Mon '!P60+'Wed (2)'!P60+Sun!P60+Sat!P60)</f>
        <v>0</v>
      </c>
      <c r="Q60" s="103">
        <f>('Thurs (2)'!Q60+Thurs!Q60+'Tues '!Q60+Wed!Q60+Fri!Q60+'Mon '!Q60+'Wed (2)'!Q60+Sun!Q60+Sat!Q60)</f>
        <v>0</v>
      </c>
      <c r="R60" s="103">
        <f>('Thurs (2)'!R60+Thurs!R60+'Tues '!R60+Wed!R60+Fri!R60+'Mon '!R60+'Wed (2)'!R60+Sun!R60+Sat!R60)</f>
        <v>1</v>
      </c>
      <c r="S60" s="103">
        <f>('Thurs (2)'!S60+Thurs!S60+'Tues '!S60+Wed!S60+Fri!S60+'Mon '!S60+'Wed (2)'!S60+Sun!S60+Sat!S60)</f>
        <v>0</v>
      </c>
      <c r="T60" s="103">
        <f>('Thurs (2)'!T60+Thurs!T60+'Tues '!T60+Wed!T60+Fri!T60+'Mon '!T60+'Wed (2)'!T60+Sun!T60+Sat!T60)</f>
        <v>0</v>
      </c>
      <c r="U60" s="104">
        <f t="shared" si="2"/>
        <v>0</v>
      </c>
      <c r="V60" s="104">
        <f t="shared" si="3"/>
        <v>0.625</v>
      </c>
      <c r="W60" s="105"/>
    </row>
    <row r="61" ht="15.0" customHeight="1">
      <c r="A61" s="129" t="s">
        <v>26</v>
      </c>
      <c r="B61" s="117" t="s">
        <v>30</v>
      </c>
      <c r="C61" s="118" t="s">
        <v>81</v>
      </c>
      <c r="D61" s="112"/>
      <c r="E61" s="118"/>
      <c r="F61" s="118" t="s">
        <v>82</v>
      </c>
      <c r="G61" s="103">
        <f>('Thurs (2)'!G61+Thurs!G61+'Tues '!G61+Wed!G61+Fri!G61+'Mon '!G61+'Wed (2)'!G61+Sun!G61+Sat!G61)</f>
        <v>2</v>
      </c>
      <c r="H61" s="103">
        <f>('Thurs (2)'!H61+Thurs!H61+'Tues '!H61+Wed!H61+Fri!H61+'Mon '!H61+'Wed (2)'!H61+Sun!H61+Sat!H61)</f>
        <v>2</v>
      </c>
      <c r="I61" s="103">
        <f>('Thurs (2)'!I61+Thurs!I61+'Tues '!I61+Wed!I61+Fri!I61+'Mon '!I61+'Wed (2)'!I61+Sun!I61+Sat!I61)</f>
        <v>1</v>
      </c>
      <c r="J61" s="103">
        <f>('Thurs (2)'!J61+Thurs!J61+'Tues '!J61+Wed!J61+Fri!J61+'Mon '!J61+'Wed (2)'!J61+Sun!J61+Sat!J61)</f>
        <v>0</v>
      </c>
      <c r="K61" s="103">
        <f>('Thurs (2)'!K61+Thurs!K61+'Tues '!K61+Wed!K61+Fri!K61+'Mon '!K61+'Wed (2)'!K61+Sun!K61+Sat!K61)</f>
        <v>0</v>
      </c>
      <c r="L61" s="103">
        <f>('Thurs (2)'!L61+Thurs!L61+'Tues '!L61+Wed!L61+Fri!L61+'Mon '!L61+'Wed (2)'!L61+Sun!L61+Sat!L61)</f>
        <v>1</v>
      </c>
      <c r="M61" s="103">
        <f>('Thurs (2)'!M61+Thurs!M61+'Tues '!M61+Wed!M61+Fri!M61+'Mon '!M61+'Wed (2)'!M61+Sun!M61+Sat!M61)</f>
        <v>0</v>
      </c>
      <c r="N61" s="103">
        <f>('Thurs (2)'!N61+Thurs!N61+'Tues '!N61+Wed!N61+Fri!N61+'Mon '!N61+'Wed (2)'!N61+Sun!N61+Sat!N61)</f>
        <v>0</v>
      </c>
      <c r="O61" s="103">
        <f>('Thurs (2)'!O61+Thurs!O61+'Tues '!O61+Wed!O61+Fri!O61+'Mon '!O61+'Wed (2)'!O61+Sun!O61+Sat!O61)</f>
        <v>0</v>
      </c>
      <c r="P61" s="103">
        <f>('Thurs (2)'!P61+Thurs!P61+'Tues '!P61+Wed!P61+Fri!P61+'Mon '!P61+'Wed (2)'!P61+Sun!P61+Sat!P61)</f>
        <v>0</v>
      </c>
      <c r="Q61" s="103">
        <f>('Thurs (2)'!Q61+Thurs!Q61+'Tues '!Q61+Wed!Q61+Fri!Q61+'Mon '!Q61+'Wed (2)'!Q61+Sun!Q61+Sat!Q61)</f>
        <v>0</v>
      </c>
      <c r="R61" s="103">
        <f>('Thurs (2)'!R61+Thurs!R61+'Tues '!R61+Wed!R61+Fri!R61+'Mon '!R61+'Wed (2)'!R61+Sun!R61+Sat!R61)</f>
        <v>0</v>
      </c>
      <c r="S61" s="103">
        <f>('Thurs (2)'!S61+Thurs!S61+'Tues '!S61+Wed!S61+Fri!S61+'Mon '!S61+'Wed (2)'!S61+Sun!S61+Sat!S61)</f>
        <v>0</v>
      </c>
      <c r="T61" s="103">
        <f>('Thurs (2)'!T61+Thurs!T61+'Tues '!T61+Wed!T61+Fri!T61+'Mon '!T61+'Wed (2)'!T61+Sun!T61+Sat!T61)</f>
        <v>903.12</v>
      </c>
      <c r="U61" s="104">
        <f t="shared" si="2"/>
        <v>0.5</v>
      </c>
      <c r="V61" s="104">
        <f t="shared" si="3"/>
        <v>1.5</v>
      </c>
      <c r="W61" s="105"/>
    </row>
    <row r="62" ht="15.0" customHeight="1">
      <c r="A62" s="131" t="s">
        <v>26</v>
      </c>
      <c r="B62" s="137" t="s">
        <v>30</v>
      </c>
      <c r="C62" s="137" t="s">
        <v>83</v>
      </c>
      <c r="D62" s="137" t="s">
        <v>52</v>
      </c>
      <c r="E62" s="137"/>
      <c r="F62" s="137" t="s">
        <v>83</v>
      </c>
      <c r="G62" s="103">
        <f>('Thurs (2)'!G62+Thurs!G62+'Tues '!G62+Wed!G62+Fri!G62+'Mon '!G62+'Wed (2)'!G62+Sun!G62+Sat!G62)</f>
        <v>0</v>
      </c>
      <c r="H62" s="103">
        <f>('Thurs (2)'!H62+Thurs!H62+'Tues '!H62+Wed!H62+Fri!H62+'Mon '!H62+'Wed (2)'!H62+Sun!H62+Sat!H62)</f>
        <v>0</v>
      </c>
      <c r="I62" s="103">
        <f>('Thurs (2)'!I62+Thurs!I62+'Tues '!I62+Wed!I62+Fri!I62+'Mon '!I62+'Wed (2)'!I62+Sun!I62+Sat!I62)</f>
        <v>0</v>
      </c>
      <c r="J62" s="103">
        <f>('Thurs (2)'!J62+Thurs!J62+'Tues '!J62+Wed!J62+Fri!J62+'Mon '!J62+'Wed (2)'!J62+Sun!J62+Sat!J62)</f>
        <v>0</v>
      </c>
      <c r="K62" s="103">
        <f>('Thurs (2)'!K62+Thurs!K62+'Tues '!K62+Wed!K62+Fri!K62+'Mon '!K62+'Wed (2)'!K62+Sun!K62+Sat!K62)</f>
        <v>0</v>
      </c>
      <c r="L62" s="103">
        <f>('Thurs (2)'!L62+Thurs!L62+'Tues '!L62+Wed!L62+Fri!L62+'Mon '!L62+'Wed (2)'!L62+Sun!L62+Sat!L62)</f>
        <v>0</v>
      </c>
      <c r="M62" s="103">
        <f>('Thurs (2)'!M62+Thurs!M62+'Tues '!M62+Wed!M62+Fri!M62+'Mon '!M62+'Wed (2)'!M62+Sun!M62+Sat!M62)</f>
        <v>0</v>
      </c>
      <c r="N62" s="103">
        <f>('Thurs (2)'!N62+Thurs!N62+'Tues '!N62+Wed!N62+Fri!N62+'Mon '!N62+'Wed (2)'!N62+Sun!N62+Sat!N62)</f>
        <v>0</v>
      </c>
      <c r="O62" s="103">
        <f>('Thurs (2)'!O62+Thurs!O62+'Tues '!O62+Wed!O62+Fri!O62+'Mon '!O62+'Wed (2)'!O62+Sun!O62+Sat!O62)</f>
        <v>0</v>
      </c>
      <c r="P62" s="103">
        <f>('Thurs (2)'!P62+Thurs!P62+'Tues '!P62+Wed!P62+Fri!P62+'Mon '!P62+'Wed (2)'!P62+Sun!P62+Sat!P62)</f>
        <v>0</v>
      </c>
      <c r="Q62" s="103">
        <f>('Thurs (2)'!Q62+Thurs!Q62+'Tues '!Q62+Wed!Q62+Fri!Q62+'Mon '!Q62+'Wed (2)'!Q62+Sun!Q62+Sat!Q62)</f>
        <v>0</v>
      </c>
      <c r="R62" s="103">
        <f>('Thurs (2)'!R62+Thurs!R62+'Tues '!R62+Wed!R62+Fri!R62+'Mon '!R62+'Wed (2)'!R62+Sun!R62+Sat!R62)</f>
        <v>0</v>
      </c>
      <c r="S62" s="103">
        <f>('Thurs (2)'!S62+Thurs!S62+'Tues '!S62+Wed!S62+Fri!S62+'Mon '!S62+'Wed (2)'!S62+Sun!S62+Sat!S62)</f>
        <v>0</v>
      </c>
      <c r="T62" s="103">
        <f>('Thurs (2)'!T62+Thurs!T62+'Tues '!T62+Wed!T62+Fri!T62+'Mon '!T62+'Wed (2)'!T62+Sun!T62+Sat!T62)</f>
        <v>0</v>
      </c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>
        <f>('Thurs (2)'!G64+Thurs!G64+'Tues '!G64+Wed!G64+Fri!G64+'Mon '!G64+'Wed (2)'!G64+Sun!G64+Sat!G64)</f>
        <v>0</v>
      </c>
      <c r="H64" s="103">
        <f>('Thurs (2)'!H64+Thurs!H64+'Tues '!H64+Wed!H64+Fri!H64+'Mon '!H64+'Wed (2)'!H64+Sun!H64+Sat!H64)</f>
        <v>0</v>
      </c>
      <c r="I64" s="103">
        <f>('Thurs (2)'!I64+Thurs!I64+'Tues '!I64+Wed!I64+Fri!I64+'Mon '!I64+'Wed (2)'!I64+Sun!I64+Sat!I64)</f>
        <v>0</v>
      </c>
      <c r="J64" s="103">
        <f>('Thurs (2)'!J64+Thurs!J64+'Tues '!J64+Wed!J64+Fri!J64+'Mon '!J64+'Wed (2)'!J64+Sun!J64+Sat!J64)</f>
        <v>0</v>
      </c>
      <c r="K64" s="103">
        <f>('Thurs (2)'!K64+Thurs!K64+'Tues '!K64+Wed!K64+Fri!K64+'Mon '!K64+'Wed (2)'!K64+Sun!K64+Sat!K64)</f>
        <v>0</v>
      </c>
      <c r="L64" s="103">
        <f>('Thurs (2)'!L64+Thurs!L64+'Tues '!L64+Wed!L64+Fri!L64+'Mon '!L64+'Wed (2)'!L64+Sun!L64+Sat!L64)</f>
        <v>0</v>
      </c>
      <c r="M64" s="103">
        <f>('Thurs (2)'!M64+Thurs!M64+'Tues '!M64+Wed!M64+Fri!M64+'Mon '!M64+'Wed (2)'!M64+Sun!M64+Sat!M64)</f>
        <v>0</v>
      </c>
      <c r="N64" s="103">
        <f>('Thurs (2)'!N64+Thurs!N64+'Tues '!N64+Wed!N64+Fri!N64+'Mon '!N64+'Wed (2)'!N64+Sun!N64+Sat!N64)</f>
        <v>0</v>
      </c>
      <c r="O64" s="103">
        <f>('Thurs (2)'!O64+Thurs!O64+'Tues '!O64+Wed!O64+Fri!O64+'Mon '!O64+'Wed (2)'!O64+Sun!O64+Sat!O64)</f>
        <v>0</v>
      </c>
      <c r="P64" s="103">
        <f>('Thurs (2)'!P64+Thurs!P64+'Tues '!P64+Wed!P64+Fri!P64+'Mon '!P64+'Wed (2)'!P64+Sun!P64+Sat!P64)</f>
        <v>0</v>
      </c>
      <c r="Q64" s="103">
        <f>('Thurs (2)'!Q64+Thurs!Q64+'Tues '!Q64+Wed!Q64+Fri!Q64+'Mon '!Q64+'Wed (2)'!Q64+Sun!Q64+Sat!Q64)</f>
        <v>0</v>
      </c>
      <c r="R64" s="103">
        <f>('Thurs (2)'!R64+Thurs!R64+'Tues '!R64+Wed!R64+Fri!R64+'Mon '!R64+'Wed (2)'!R64+Sun!R64+Sat!R64)</f>
        <v>0</v>
      </c>
      <c r="S64" s="103">
        <f>('Thurs (2)'!S64+Thurs!S64+'Tues '!S64+Wed!S64+Fri!S64+'Mon '!S64+'Wed (2)'!S64+Sun!S64+Sat!S64)</f>
        <v>0</v>
      </c>
      <c r="T64" s="103">
        <f>('Thurs (2)'!T64+Thurs!T64+'Tues '!T64+Wed!T64+Fri!T64+'Mon '!T64+'Wed (2)'!T64+Sun!T64+Sat!T64)</f>
        <v>0</v>
      </c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84</v>
      </c>
      <c r="D65" s="141" t="s">
        <v>52</v>
      </c>
      <c r="E65" s="112" t="s">
        <v>85</v>
      </c>
      <c r="F65" s="112" t="s">
        <v>84</v>
      </c>
      <c r="G65" s="103">
        <f>('Thurs (2)'!G65+Thurs!G65+'Tues '!G65+Wed!G65+Fri!G65+'Mon '!G65+'Wed (2)'!G65+Sun!G65+Sat!G65)</f>
        <v>0</v>
      </c>
      <c r="H65" s="103">
        <f>('Thurs (2)'!H65+Thurs!H65+'Tues '!H65+Wed!H65+Fri!H65+'Mon '!H65+'Wed (2)'!H65+Sun!H65+Sat!H65)</f>
        <v>0</v>
      </c>
      <c r="I65" s="103">
        <f>('Thurs (2)'!I65+Thurs!I65+'Tues '!I65+Wed!I65+Fri!I65+'Mon '!I65+'Wed (2)'!I65+Sun!I65+Sat!I65)</f>
        <v>0</v>
      </c>
      <c r="J65" s="103">
        <f>('Thurs (2)'!J65+Thurs!J65+'Tues '!J65+Wed!J65+Fri!J65+'Mon '!J65+'Wed (2)'!J65+Sun!J65+Sat!J65)</f>
        <v>0</v>
      </c>
      <c r="K65" s="103">
        <f>('Thurs (2)'!K65+Thurs!K65+'Tues '!K65+Wed!K65+Fri!K65+'Mon '!K65+'Wed (2)'!K65+Sun!K65+Sat!K65)</f>
        <v>0</v>
      </c>
      <c r="L65" s="103">
        <f>('Thurs (2)'!L65+Thurs!L65+'Tues '!L65+Wed!L65+Fri!L65+'Mon '!L65+'Wed (2)'!L65+Sun!L65+Sat!L65)</f>
        <v>0</v>
      </c>
      <c r="M65" s="103">
        <f>('Thurs (2)'!M65+Thurs!M65+'Tues '!M65+Wed!M65+Fri!M65+'Mon '!M65+'Wed (2)'!M65+Sun!M65+Sat!M65)</f>
        <v>0</v>
      </c>
      <c r="N65" s="103">
        <f>('Thurs (2)'!N65+Thurs!N65+'Tues '!N65+Wed!N65+Fri!N65+'Mon '!N65+'Wed (2)'!N65+Sun!N65+Sat!N65)</f>
        <v>0</v>
      </c>
      <c r="O65" s="103">
        <f>('Thurs (2)'!O65+Thurs!O65+'Tues '!O65+Wed!O65+Fri!O65+'Mon '!O65+'Wed (2)'!O65+Sun!O65+Sat!O65)</f>
        <v>0</v>
      </c>
      <c r="P65" s="103">
        <f>('Thurs (2)'!P65+Thurs!P65+'Tues '!P65+Wed!P65+Fri!P65+'Mon '!P65+'Wed (2)'!P65+Sun!P65+Sat!P65)</f>
        <v>0</v>
      </c>
      <c r="Q65" s="103">
        <f>('Thurs (2)'!Q65+Thurs!Q65+'Tues '!Q65+Wed!Q65+Fri!Q65+'Mon '!Q65+'Wed (2)'!Q65+Sun!Q65+Sat!Q65)</f>
        <v>0</v>
      </c>
      <c r="R65" s="103">
        <f>('Thurs (2)'!R65+Thurs!R65+'Tues '!R65+Wed!R65+Fri!R65+'Mon '!R65+'Wed (2)'!R65+Sun!R65+Sat!R65)</f>
        <v>0</v>
      </c>
      <c r="S65" s="103">
        <f>('Thurs (2)'!S65+Thurs!S65+'Tues '!S65+Wed!S65+Fri!S65+'Mon '!S65+'Wed (2)'!S65+Sun!S65+Sat!S65)</f>
        <v>0</v>
      </c>
      <c r="T65" s="103">
        <f>('Thurs (2)'!T65+Thurs!T65+'Tues '!T65+Wed!T65+Fri!T65+'Mon '!T65+'Wed (2)'!T65+Sun!T65+Sat!T65)</f>
        <v>0</v>
      </c>
      <c r="U65" s="142">
        <f t="shared" si="4"/>
        <v>0</v>
      </c>
      <c r="V65" s="142">
        <f t="shared" si="5"/>
        <v>0</v>
      </c>
      <c r="W65" s="143"/>
    </row>
    <row r="66">
      <c r="A66" s="118" t="s">
        <v>31</v>
      </c>
      <c r="B66" s="118"/>
      <c r="C66" s="118" t="s">
        <v>84</v>
      </c>
      <c r="D66" s="144"/>
      <c r="E66" s="118"/>
      <c r="F66" s="118" t="s">
        <v>86</v>
      </c>
      <c r="G66" s="103">
        <f>('Thurs (2)'!G66+Thurs!G66+'Tues '!G66+Wed!G66+Fri!G66+'Mon '!G66+'Wed (2)'!G66+Sun!G66+Sat!G66)</f>
        <v>0</v>
      </c>
      <c r="H66" s="103">
        <f>('Thurs (2)'!H66+Thurs!H66+'Tues '!H66+Wed!H66+Fri!H66+'Mon '!H66+'Wed (2)'!H66+Sun!H66+Sat!H66)</f>
        <v>0</v>
      </c>
      <c r="I66" s="103">
        <f>('Thurs (2)'!I66+Thurs!I66+'Tues '!I66+Wed!I66+Fri!I66+'Mon '!I66+'Wed (2)'!I66+Sun!I66+Sat!I66)</f>
        <v>0</v>
      </c>
      <c r="J66" s="103">
        <f>('Thurs (2)'!J66+Thurs!J66+'Tues '!J66+Wed!J66+Fri!J66+'Mon '!J66+'Wed (2)'!J66+Sun!J66+Sat!J66)</f>
        <v>0</v>
      </c>
      <c r="K66" s="103">
        <f>('Thurs (2)'!K66+Thurs!K66+'Tues '!K66+Wed!K66+Fri!K66+'Mon '!K66+'Wed (2)'!K66+Sun!K66+Sat!K66)</f>
        <v>0</v>
      </c>
      <c r="L66" s="103">
        <f>('Thurs (2)'!L66+Thurs!L66+'Tues '!L66+Wed!L66+Fri!L66+'Mon '!L66+'Wed (2)'!L66+Sun!L66+Sat!L66)</f>
        <v>0</v>
      </c>
      <c r="M66" s="103">
        <f>('Thurs (2)'!M66+Thurs!M66+'Tues '!M66+Wed!M66+Fri!M66+'Mon '!M66+'Wed (2)'!M66+Sun!M66+Sat!M66)</f>
        <v>0</v>
      </c>
      <c r="N66" s="103">
        <f>('Thurs (2)'!N66+Thurs!N66+'Tues '!N66+Wed!N66+Fri!N66+'Mon '!N66+'Wed (2)'!N66+Sun!N66+Sat!N66)</f>
        <v>0</v>
      </c>
      <c r="O66" s="103">
        <f>('Thurs (2)'!O66+Thurs!O66+'Tues '!O66+Wed!O66+Fri!O66+'Mon '!O66+'Wed (2)'!O66+Sun!O66+Sat!O66)</f>
        <v>0</v>
      </c>
      <c r="P66" s="103">
        <f>('Thurs (2)'!P66+Thurs!P66+'Tues '!P66+Wed!P66+Fri!P66+'Mon '!P66+'Wed (2)'!P66+Sun!P66+Sat!P66)</f>
        <v>0</v>
      </c>
      <c r="Q66" s="103">
        <f>('Thurs (2)'!Q66+Thurs!Q66+'Tues '!Q66+Wed!Q66+Fri!Q66+'Mon '!Q66+'Wed (2)'!Q66+Sun!Q66+Sat!Q66)</f>
        <v>0</v>
      </c>
      <c r="R66" s="103">
        <f>('Thurs (2)'!R66+Thurs!R66+'Tues '!R66+Wed!R66+Fri!R66+'Mon '!R66+'Wed (2)'!R66+Sun!R66+Sat!R66)</f>
        <v>0</v>
      </c>
      <c r="S66" s="103">
        <f>('Thurs (2)'!S66+Thurs!S66+'Tues '!S66+Wed!S66+Fri!S66+'Mon '!S66+'Wed (2)'!S66+Sun!S66+Sat!S66)</f>
        <v>0</v>
      </c>
      <c r="T66" s="103">
        <f>('Thurs (2)'!T66+Thurs!T66+'Tues '!T66+Wed!T66+Fri!T66+'Mon '!T66+'Wed (2)'!T66+Sun!T66+Sat!T66)</f>
        <v>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87</v>
      </c>
      <c r="D67" s="145" t="s">
        <v>52</v>
      </c>
      <c r="E67" s="102" t="s">
        <v>55</v>
      </c>
      <c r="F67" s="102" t="s">
        <v>87</v>
      </c>
      <c r="G67" s="103">
        <f>('Thurs (2)'!G67+Thurs!G67+'Tues '!G67+Wed!G67+Fri!G67+'Mon '!G67+'Wed (2)'!G67+Sun!G67+Sat!G67)</f>
        <v>0</v>
      </c>
      <c r="H67" s="103">
        <f>('Thurs (2)'!H67+Thurs!H67+'Tues '!H67+Wed!H67+Fri!H67+'Mon '!H67+'Wed (2)'!H67+Sun!H67+Sat!H67)</f>
        <v>1</v>
      </c>
      <c r="I67" s="103">
        <f>('Thurs (2)'!I67+Thurs!I67+'Tues '!I67+Wed!I67+Fri!I67+'Mon '!I67+'Wed (2)'!I67+Sun!I67+Sat!I67)</f>
        <v>0</v>
      </c>
      <c r="J67" s="103">
        <f>('Thurs (2)'!J67+Thurs!J67+'Tues '!J67+Wed!J67+Fri!J67+'Mon '!J67+'Wed (2)'!J67+Sun!J67+Sat!J67)</f>
        <v>1</v>
      </c>
      <c r="K67" s="103">
        <f>('Thurs (2)'!K67+Thurs!K67+'Tues '!K67+Wed!K67+Fri!K67+'Mon '!K67+'Wed (2)'!K67+Sun!K67+Sat!K67)</f>
        <v>0</v>
      </c>
      <c r="L67" s="103">
        <f>('Thurs (2)'!L67+Thurs!L67+'Tues '!L67+Wed!L67+Fri!L67+'Mon '!L67+'Wed (2)'!L67+Sun!L67+Sat!L67)</f>
        <v>0</v>
      </c>
      <c r="M67" s="103">
        <f>('Thurs (2)'!M67+Thurs!M67+'Tues '!M67+Wed!M67+Fri!M67+'Mon '!M67+'Wed (2)'!M67+Sun!M67+Sat!M67)</f>
        <v>6</v>
      </c>
      <c r="N67" s="103">
        <f>('Thurs (2)'!N67+Thurs!N67+'Tues '!N67+Wed!N67+Fri!N67+'Mon '!N67+'Wed (2)'!N67+Sun!N67+Sat!N67)</f>
        <v>1</v>
      </c>
      <c r="O67" s="103">
        <f>('Thurs (2)'!O67+Thurs!O67+'Tues '!O67+Wed!O67+Fri!O67+'Mon '!O67+'Wed (2)'!O67+Sun!O67+Sat!O67)</f>
        <v>0</v>
      </c>
      <c r="P67" s="103">
        <f>('Thurs (2)'!P67+Thurs!P67+'Tues '!P67+Wed!P67+Fri!P67+'Mon '!P67+'Wed (2)'!P67+Sun!P67+Sat!P67)</f>
        <v>0</v>
      </c>
      <c r="Q67" s="103">
        <f>('Thurs (2)'!Q67+Thurs!Q67+'Tues '!Q67+Wed!Q67+Fri!Q67+'Mon '!Q67+'Wed (2)'!Q67+Sun!Q67+Sat!Q67)</f>
        <v>0</v>
      </c>
      <c r="R67" s="103">
        <f>('Thurs (2)'!R67+Thurs!R67+'Tues '!R67+Wed!R67+Fri!R67+'Mon '!R67+'Wed (2)'!R67+Sun!R67+Sat!R67)</f>
        <v>0</v>
      </c>
      <c r="S67" s="103">
        <f>('Thurs (2)'!S67+Thurs!S67+'Tues '!S67+Wed!S67+Fri!S67+'Mon '!S67+'Wed (2)'!S67+Sun!S67+Sat!S67)</f>
        <v>0</v>
      </c>
      <c r="T67" s="103">
        <f>('Thurs (2)'!T67+Thurs!T67+'Tues '!T67+Wed!T67+Fri!T67+'Mon '!T67+'Wed (2)'!T67+Sun!T67+Sat!T67)</f>
        <v>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64</v>
      </c>
      <c r="F68" s="111" t="s">
        <v>88</v>
      </c>
      <c r="G68" s="103">
        <f>('Thurs (2)'!G68+Thurs!G68+'Tues '!G68+Wed!G68+Fri!G68+'Mon '!G68+'Wed (2)'!G68+Sun!G68+Sat!G68)</f>
        <v>0</v>
      </c>
      <c r="H68" s="103">
        <f>('Thurs (2)'!H68+Thurs!H68+'Tues '!H68+Wed!H68+Fri!H68+'Mon '!H68+'Wed (2)'!H68+Sun!H68+Sat!H68)</f>
        <v>0</v>
      </c>
      <c r="I68" s="103">
        <f>('Thurs (2)'!I68+Thurs!I68+'Tues '!I68+Wed!I68+Fri!I68+'Mon '!I68+'Wed (2)'!I68+Sun!I68+Sat!I68)</f>
        <v>0</v>
      </c>
      <c r="J68" s="103">
        <f>('Thurs (2)'!J68+Thurs!J68+'Tues '!J68+Wed!J68+Fri!J68+'Mon '!J68+'Wed (2)'!J68+Sun!J68+Sat!J68)</f>
        <v>0</v>
      </c>
      <c r="K68" s="103">
        <f>('Thurs (2)'!K68+Thurs!K68+'Tues '!K68+Wed!K68+Fri!K68+'Mon '!K68+'Wed (2)'!K68+Sun!K68+Sat!K68)</f>
        <v>0</v>
      </c>
      <c r="L68" s="103">
        <f>('Thurs (2)'!L68+Thurs!L68+'Tues '!L68+Wed!L68+Fri!L68+'Mon '!L68+'Wed (2)'!L68+Sun!L68+Sat!L68)</f>
        <v>0</v>
      </c>
      <c r="M68" s="103">
        <f>('Thurs (2)'!M68+Thurs!M68+'Tues '!M68+Wed!M68+Fri!M68+'Mon '!M68+'Wed (2)'!M68+Sun!M68+Sat!M68)</f>
        <v>0</v>
      </c>
      <c r="N68" s="103">
        <f>('Thurs (2)'!N68+Thurs!N68+'Tues '!N68+Wed!N68+Fri!N68+'Mon '!N68+'Wed (2)'!N68+Sun!N68+Sat!N68)</f>
        <v>0</v>
      </c>
      <c r="O68" s="103">
        <f>('Thurs (2)'!O68+Thurs!O68+'Tues '!O68+Wed!O68+Fri!O68+'Mon '!O68+'Wed (2)'!O68+Sun!O68+Sat!O68)</f>
        <v>0</v>
      </c>
      <c r="P68" s="103">
        <f>('Thurs (2)'!P68+Thurs!P68+'Tues '!P68+Wed!P68+Fri!P68+'Mon '!P68+'Wed (2)'!P68+Sun!P68+Sat!P68)</f>
        <v>0</v>
      </c>
      <c r="Q68" s="103">
        <f>('Thurs (2)'!Q68+Thurs!Q68+'Tues '!Q68+Wed!Q68+Fri!Q68+'Mon '!Q68+'Wed (2)'!Q68+Sun!Q68+Sat!Q68)</f>
        <v>0</v>
      </c>
      <c r="R68" s="103">
        <f>('Thurs (2)'!R68+Thurs!R68+'Tues '!R68+Wed!R68+Fri!R68+'Mon '!R68+'Wed (2)'!R68+Sun!R68+Sat!R68)</f>
        <v>0</v>
      </c>
      <c r="S68" s="103">
        <f>('Thurs (2)'!S68+Thurs!S68+'Tues '!S68+Wed!S68+Fri!S68+'Mon '!S68+'Wed (2)'!S68+Sun!S68+Sat!S68)</f>
        <v>0</v>
      </c>
      <c r="T68" s="103">
        <f>('Thurs (2)'!T68+Thurs!T68+'Tues '!T68+Wed!T68+Fri!T68+'Mon '!T68+'Wed (2)'!T68+Sun!T68+Sat!T68)</f>
        <v>0</v>
      </c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87</v>
      </c>
      <c r="D69" s="146"/>
      <c r="E69" s="111" t="s">
        <v>89</v>
      </c>
      <c r="F69" s="111" t="s">
        <v>90</v>
      </c>
      <c r="G69" s="103" t="str">
        <f>('Thurs (2)'!G69+Thurs!G69+'Tues '!G69+Wed!G69+Fri!G69+'Mon '!G69+'Wed (2)'!G69+Sun!G69+Sat!G69)</f>
        <v>#VALUE!</v>
      </c>
      <c r="H69" s="103" t="str">
        <f>('Thurs (2)'!H69+Thurs!H69+'Tues '!H69+Wed!H69+Fri!H69+'Mon '!H69+'Wed (2)'!H69+Sun!H69+Sat!H69)</f>
        <v>#VALUE!</v>
      </c>
      <c r="I69" s="103" t="str">
        <f>('Thurs (2)'!I69+Thurs!I69+'Tues '!I69+Wed!I69+Fri!I69+'Mon '!I69+'Wed (2)'!I69+Sun!I69+Sat!I69)</f>
        <v>#VALUE!</v>
      </c>
      <c r="J69" s="103" t="str">
        <f>('Thurs (2)'!J69+Thurs!J69+'Tues '!J69+Wed!J69+Fri!J69+'Mon '!J69+'Wed (2)'!J69+Sun!J69+Sat!J69)</f>
        <v>#VALUE!</v>
      </c>
      <c r="K69" s="103" t="str">
        <f>('Thurs (2)'!K69+Thurs!K69+'Tues '!K69+Wed!K69+Fri!K69+'Mon '!K69+'Wed (2)'!K69+Sun!K69+Sat!K69)</f>
        <v>#VALUE!</v>
      </c>
      <c r="L69" s="103" t="str">
        <f>('Thurs (2)'!L69+Thurs!L69+'Tues '!L69+Wed!L69+Fri!L69+'Mon '!L69+'Wed (2)'!L69+Sun!L69+Sat!L69)</f>
        <v>#VALUE!</v>
      </c>
      <c r="M69" s="103" t="str">
        <f>('Thurs (2)'!M69+Thurs!M69+'Tues '!M69+Wed!M69+Fri!M69+'Mon '!M69+'Wed (2)'!M69+Sun!M69+Sat!M69)</f>
        <v>#VALUE!</v>
      </c>
      <c r="N69" s="103" t="str">
        <f>('Thurs (2)'!N69+Thurs!N69+'Tues '!N69+Wed!N69+Fri!N69+'Mon '!N69+'Wed (2)'!N69+Sun!N69+Sat!N69)</f>
        <v>#VALUE!</v>
      </c>
      <c r="O69" s="103" t="str">
        <f>('Thurs (2)'!O69+Thurs!O69+'Tues '!O69+Wed!O69+Fri!O69+'Mon '!O69+'Wed (2)'!O69+Sun!O69+Sat!O69)</f>
        <v>#VALUE!</v>
      </c>
      <c r="P69" s="103" t="str">
        <f>('Thurs (2)'!P69+Thurs!P69+'Tues '!P69+Wed!P69+Fri!P69+'Mon '!P69+'Wed (2)'!P69+Sun!P69+Sat!P69)</f>
        <v>#VALUE!</v>
      </c>
      <c r="Q69" s="103" t="str">
        <f>('Thurs (2)'!Q69+Thurs!Q69+'Tues '!Q69+Wed!Q69+Fri!Q69+'Mon '!Q69+'Wed (2)'!Q69+Sun!Q69+Sat!Q69)</f>
        <v>#VALUE!</v>
      </c>
      <c r="R69" s="103" t="str">
        <f>('Thurs (2)'!R69+Thurs!R69+'Tues '!R69+Wed!R69+Fri!R69+'Mon '!R69+'Wed (2)'!R69+Sun!R69+Sat!R69)</f>
        <v>#VALUE!</v>
      </c>
      <c r="S69" s="103" t="str">
        <f>('Thurs (2)'!S69+Thurs!S69+'Tues '!S69+Wed!S69+Fri!S69+'Mon '!S69+'Wed (2)'!S69+Sun!S69+Sat!S69)</f>
        <v>#VALUE!</v>
      </c>
      <c r="T69" s="103">
        <f>('Thurs (2)'!T69+Thurs!T69+'Tues '!T69+Wed!T69+Fri!T69+'Mon '!T69+'Wed (2)'!T69+Sun!T69+Sat!T69)</f>
        <v>0</v>
      </c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91</v>
      </c>
      <c r="F71" s="138" t="s">
        <v>32</v>
      </c>
      <c r="G71" s="103">
        <f>('Thurs (2)'!G71+Thurs!G71+'Tues '!G71+Wed!G71+Fri!G71+'Mon '!G71+'Wed (2)'!G71+Sun!G71+Sat!G71)</f>
        <v>1</v>
      </c>
      <c r="H71" s="103">
        <f>('Thurs (2)'!H71+Thurs!H71+'Tues '!H71+Wed!H71+Fri!H71+'Mon '!H71+'Wed (2)'!H71+Sun!H71+Sat!H71)</f>
        <v>1</v>
      </c>
      <c r="I71" s="103">
        <f>('Thurs (2)'!I71+Thurs!I71+'Tues '!I71+Wed!I71+Fri!I71+'Mon '!I71+'Wed (2)'!I71+Sun!I71+Sat!I71)</f>
        <v>1</v>
      </c>
      <c r="J71" s="103">
        <f>('Thurs (2)'!J71+Thurs!J71+'Tues '!J71+Wed!J71+Fri!J71+'Mon '!J71+'Wed (2)'!J71+Sun!J71+Sat!J71)</f>
        <v>1</v>
      </c>
      <c r="K71" s="103">
        <f>('Thurs (2)'!K71+Thurs!K71+'Tues '!K71+Wed!K71+Fri!K71+'Mon '!K71+'Wed (2)'!K71+Sun!K71+Sat!K71)</f>
        <v>1</v>
      </c>
      <c r="L71" s="103">
        <f>('Thurs (2)'!L71+Thurs!L71+'Tues '!L71+Wed!L71+Fri!L71+'Mon '!L71+'Wed (2)'!L71+Sun!L71+Sat!L71)</f>
        <v>0</v>
      </c>
      <c r="M71" s="103">
        <f>('Thurs (2)'!M71+Thurs!M71+'Tues '!M71+Wed!M71+Fri!M71+'Mon '!M71+'Wed (2)'!M71+Sun!M71+Sat!M71)</f>
        <v>3</v>
      </c>
      <c r="N71" s="103">
        <f>('Thurs (2)'!N71+Thurs!N71+'Tues '!N71+Wed!N71+Fri!N71+'Mon '!N71+'Wed (2)'!N71+Sun!N71+Sat!N71)</f>
        <v>1</v>
      </c>
      <c r="O71" s="103">
        <f>('Thurs (2)'!O71+Thurs!O71+'Tues '!O71+Wed!O71+Fri!O71+'Mon '!O71+'Wed (2)'!O71+Sun!O71+Sat!O71)</f>
        <v>0</v>
      </c>
      <c r="P71" s="103">
        <f>('Thurs (2)'!P71+Thurs!P71+'Tues '!P71+Wed!P71+Fri!P71+'Mon '!P71+'Wed (2)'!P71+Sun!P71+Sat!P71)</f>
        <v>0</v>
      </c>
      <c r="Q71" s="103">
        <f>('Thurs (2)'!Q71+Thurs!Q71+'Tues '!Q71+Wed!Q71+Fri!Q71+'Mon '!Q71+'Wed (2)'!Q71+Sun!Q71+Sat!Q71)</f>
        <v>0</v>
      </c>
      <c r="R71" s="103">
        <f>('Thurs (2)'!R71+Thurs!R71+'Tues '!R71+Wed!R71+Fri!R71+'Mon '!R71+'Wed (2)'!R71+Sun!R71+Sat!R71)</f>
        <v>0</v>
      </c>
      <c r="S71" s="103">
        <f>('Thurs (2)'!S71+Thurs!S71+'Tues '!S71+Wed!S71+Fri!S71+'Mon '!S71+'Wed (2)'!S71+Sun!S71+Sat!S71)</f>
        <v>0</v>
      </c>
      <c r="T71" s="103">
        <f>('Thurs (2)'!T71+Thurs!T71+'Tues '!T71+Wed!T71+Fri!T71+'Mon '!T71+'Wed (2)'!T71+Sun!T71+Sat!T71)</f>
        <v>2532</v>
      </c>
      <c r="U71" s="104">
        <f t="shared" ref="U71:U79" si="6">IFERROR(I71/H71,0)</f>
        <v>1</v>
      </c>
      <c r="V71" s="104">
        <f t="shared" ref="V71:V79" si="7">IFERROR(SUM(H71+L71)/G71,0)</f>
        <v>1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91</v>
      </c>
      <c r="F72" s="125" t="s">
        <v>92</v>
      </c>
      <c r="G72" s="103">
        <f>('Thurs (2)'!G72+Thurs!G72+'Tues '!G72+Wed!G72+Fri!G72+'Mon '!G72+'Wed (2)'!G72+Sun!G72+Sat!G72)</f>
        <v>0</v>
      </c>
      <c r="H72" s="103">
        <f>('Thurs (2)'!H72+Thurs!H72+'Tues '!H72+Wed!H72+Fri!H72+'Mon '!H72+'Wed (2)'!H72+Sun!H72+Sat!H72)</f>
        <v>0</v>
      </c>
      <c r="I72" s="103">
        <f>('Thurs (2)'!I72+Thurs!I72+'Tues '!I72+Wed!I72+Fri!I72+'Mon '!I72+'Wed (2)'!I72+Sun!I72+Sat!I72)</f>
        <v>0</v>
      </c>
      <c r="J72" s="103">
        <f>('Thurs (2)'!J72+Thurs!J72+'Tues '!J72+Wed!J72+Fri!J72+'Mon '!J72+'Wed (2)'!J72+Sun!J72+Sat!J72)</f>
        <v>0</v>
      </c>
      <c r="K72" s="103">
        <f>('Thurs (2)'!K72+Thurs!K72+'Tues '!K72+Wed!K72+Fri!K72+'Mon '!K72+'Wed (2)'!K72+Sun!K72+Sat!K72)</f>
        <v>0</v>
      </c>
      <c r="L72" s="103">
        <f>('Thurs (2)'!L72+Thurs!L72+'Tues '!L72+Wed!L72+Fri!L72+'Mon '!L72+'Wed (2)'!L72+Sun!L72+Sat!L72)</f>
        <v>0</v>
      </c>
      <c r="M72" s="103">
        <f>('Thurs (2)'!M72+Thurs!M72+'Tues '!M72+Wed!M72+Fri!M72+'Mon '!M72+'Wed (2)'!M72+Sun!M72+Sat!M72)</f>
        <v>0</v>
      </c>
      <c r="N72" s="103">
        <f>('Thurs (2)'!N72+Thurs!N72+'Tues '!N72+Wed!N72+Fri!N72+'Mon '!N72+'Wed (2)'!N72+Sun!N72+Sat!N72)</f>
        <v>0</v>
      </c>
      <c r="O72" s="103">
        <f>('Thurs (2)'!O72+Thurs!O72+'Tues '!O72+Wed!O72+Fri!O72+'Mon '!O72+'Wed (2)'!O72+Sun!O72+Sat!O72)</f>
        <v>0</v>
      </c>
      <c r="P72" s="103">
        <f>('Thurs (2)'!P72+Thurs!P72+'Tues '!P72+Wed!P72+Fri!P72+'Mon '!P72+'Wed (2)'!P72+Sun!P72+Sat!P72)</f>
        <v>0</v>
      </c>
      <c r="Q72" s="103">
        <f>('Thurs (2)'!Q72+Thurs!Q72+'Tues '!Q72+Wed!Q72+Fri!Q72+'Mon '!Q72+'Wed (2)'!Q72+Sun!Q72+Sat!Q72)</f>
        <v>0</v>
      </c>
      <c r="R72" s="103">
        <f>('Thurs (2)'!R72+Thurs!R72+'Tues '!R72+Wed!R72+Fri!R72+'Mon '!R72+'Wed (2)'!R72+Sun!R72+Sat!R72)</f>
        <v>0</v>
      </c>
      <c r="S72" s="103">
        <f>('Thurs (2)'!S72+Thurs!S72+'Tues '!S72+Wed!S72+Fri!S72+'Mon '!S72+'Wed (2)'!S72+Sun!S72+Sat!S72)</f>
        <v>0</v>
      </c>
      <c r="T72" s="103">
        <f>('Thurs (2)'!T72+Thurs!T72+'Tues '!T72+Wed!T72+Fri!T72+'Mon '!T72+'Wed (2)'!T72+Sun!T72+Sat!T72)</f>
        <v>0</v>
      </c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93</v>
      </c>
      <c r="G73" s="103">
        <f>('Thurs (2)'!G73+Thurs!G73+'Tues '!G73+Wed!G73+Fri!G73+'Mon '!G73+'Wed (2)'!G73+Sun!G73+Sat!G73)</f>
        <v>0</v>
      </c>
      <c r="H73" s="103">
        <f>('Thurs (2)'!H73+Thurs!H73+'Tues '!H73+Wed!H73+Fri!H73+'Mon '!H73+'Wed (2)'!H73+Sun!H73+Sat!H73)</f>
        <v>0</v>
      </c>
      <c r="I73" s="103">
        <f>('Thurs (2)'!I73+Thurs!I73+'Tues '!I73+Wed!I73+Fri!I73+'Mon '!I73+'Wed (2)'!I73+Sun!I73+Sat!I73)</f>
        <v>0</v>
      </c>
      <c r="J73" s="103">
        <f>('Thurs (2)'!J73+Thurs!J73+'Tues '!J73+Wed!J73+Fri!J73+'Mon '!J73+'Wed (2)'!J73+Sun!J73+Sat!J73)</f>
        <v>0</v>
      </c>
      <c r="K73" s="103">
        <f>('Thurs (2)'!K73+Thurs!K73+'Tues '!K73+Wed!K73+Fri!K73+'Mon '!K73+'Wed (2)'!K73+Sun!K73+Sat!K73)</f>
        <v>0</v>
      </c>
      <c r="L73" s="103">
        <f>('Thurs (2)'!L73+Thurs!L73+'Tues '!L73+Wed!L73+Fri!L73+'Mon '!L73+'Wed (2)'!L73+Sun!L73+Sat!L73)</f>
        <v>0</v>
      </c>
      <c r="M73" s="103">
        <f>('Thurs (2)'!M73+Thurs!M73+'Tues '!M73+Wed!M73+Fri!M73+'Mon '!M73+'Wed (2)'!M73+Sun!M73+Sat!M73)</f>
        <v>0</v>
      </c>
      <c r="N73" s="103">
        <f>('Thurs (2)'!N73+Thurs!N73+'Tues '!N73+Wed!N73+Fri!N73+'Mon '!N73+'Wed (2)'!N73+Sun!N73+Sat!N73)</f>
        <v>0</v>
      </c>
      <c r="O73" s="103">
        <f>('Thurs (2)'!O73+Thurs!O73+'Tues '!O73+Wed!O73+Fri!O73+'Mon '!O73+'Wed (2)'!O73+Sun!O73+Sat!O73)</f>
        <v>0</v>
      </c>
      <c r="P73" s="103">
        <f>('Thurs (2)'!P73+Thurs!P73+'Tues '!P73+Wed!P73+Fri!P73+'Mon '!P73+'Wed (2)'!P73+Sun!P73+Sat!P73)</f>
        <v>0</v>
      </c>
      <c r="Q73" s="103">
        <f>('Thurs (2)'!Q73+Thurs!Q73+'Tues '!Q73+Wed!Q73+Fri!Q73+'Mon '!Q73+'Wed (2)'!Q73+Sun!Q73+Sat!Q73)</f>
        <v>0</v>
      </c>
      <c r="R73" s="103">
        <f>('Thurs (2)'!R73+Thurs!R73+'Tues '!R73+Wed!R73+Fri!R73+'Mon '!R73+'Wed (2)'!R73+Sun!R73+Sat!R73)</f>
        <v>0</v>
      </c>
      <c r="S73" s="103">
        <f>('Thurs (2)'!S73+Thurs!S73+'Tues '!S73+Wed!S73+Fri!S73+'Mon '!S73+'Wed (2)'!S73+Sun!S73+Sat!S73)</f>
        <v>0</v>
      </c>
      <c r="T73" s="103">
        <f>('Thurs (2)'!T73+Thurs!T73+'Tues '!T73+Wed!T73+Fri!T73+'Mon '!T73+'Wed (2)'!T73+Sun!T73+Sat!T73)</f>
        <v>0</v>
      </c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94</v>
      </c>
      <c r="G74" s="103">
        <f>('Thurs (2)'!G74+Thurs!G74+'Tues '!G74+Wed!G74+Fri!G74+'Mon '!G74+'Wed (2)'!G74+Sun!G74+Sat!G74)</f>
        <v>0</v>
      </c>
      <c r="H74" s="103">
        <f>('Thurs (2)'!H74+Thurs!H74+'Tues '!H74+Wed!H74+Fri!H74+'Mon '!H74+'Wed (2)'!H74+Sun!H74+Sat!H74)</f>
        <v>0</v>
      </c>
      <c r="I74" s="103">
        <f>('Thurs (2)'!I74+Thurs!I74+'Tues '!I74+Wed!I74+Fri!I74+'Mon '!I74+'Wed (2)'!I74+Sun!I74+Sat!I74)</f>
        <v>0</v>
      </c>
      <c r="J74" s="103">
        <f>('Thurs (2)'!J74+Thurs!J74+'Tues '!J74+Wed!J74+Fri!J74+'Mon '!J74+'Wed (2)'!J74+Sun!J74+Sat!J74)</f>
        <v>0</v>
      </c>
      <c r="K74" s="103">
        <f>('Thurs (2)'!K74+Thurs!K74+'Tues '!K74+Wed!K74+Fri!K74+'Mon '!K74+'Wed (2)'!K74+Sun!K74+Sat!K74)</f>
        <v>0</v>
      </c>
      <c r="L74" s="103">
        <f>('Thurs (2)'!L74+Thurs!L74+'Tues '!L74+Wed!L74+Fri!L74+'Mon '!L74+'Wed (2)'!L74+Sun!L74+Sat!L74)</f>
        <v>0</v>
      </c>
      <c r="M74" s="103">
        <f>('Thurs (2)'!M74+Thurs!M74+'Tues '!M74+Wed!M74+Fri!M74+'Mon '!M74+'Wed (2)'!M74+Sun!M74+Sat!M74)</f>
        <v>0</v>
      </c>
      <c r="N74" s="103">
        <f>('Thurs (2)'!N74+Thurs!N74+'Tues '!N74+Wed!N74+Fri!N74+'Mon '!N74+'Wed (2)'!N74+Sun!N74+Sat!N74)</f>
        <v>0</v>
      </c>
      <c r="O74" s="103">
        <f>('Thurs (2)'!O74+Thurs!O74+'Tues '!O74+Wed!O74+Fri!O74+'Mon '!O74+'Wed (2)'!O74+Sun!O74+Sat!O74)</f>
        <v>0</v>
      </c>
      <c r="P74" s="103">
        <f>('Thurs (2)'!P74+Thurs!P74+'Tues '!P74+Wed!P74+Fri!P74+'Mon '!P74+'Wed (2)'!P74+Sun!P74+Sat!P74)</f>
        <v>0</v>
      </c>
      <c r="Q74" s="103">
        <f>('Thurs (2)'!Q74+Thurs!Q74+'Tues '!Q74+Wed!Q74+Fri!Q74+'Mon '!Q74+'Wed (2)'!Q74+Sun!Q74+Sat!Q74)</f>
        <v>0</v>
      </c>
      <c r="R74" s="103">
        <f>('Thurs (2)'!R74+Thurs!R74+'Tues '!R74+Wed!R74+Fri!R74+'Mon '!R74+'Wed (2)'!R74+Sun!R74+Sat!R74)</f>
        <v>0</v>
      </c>
      <c r="S74" s="103">
        <f>('Thurs (2)'!S74+Thurs!S74+'Tues '!S74+Wed!S74+Fri!S74+'Mon '!S74+'Wed (2)'!S74+Sun!S74+Sat!S74)</f>
        <v>0</v>
      </c>
      <c r="T74" s="103">
        <f>('Thurs (2)'!T74+Thurs!T74+'Tues '!T74+Wed!T74+Fri!T74+'Mon '!T74+'Wed (2)'!T74+Sun!T74+Sat!T74)</f>
        <v>0</v>
      </c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95</v>
      </c>
      <c r="G75" s="103">
        <f>('Thurs (2)'!G75+Thurs!G75+'Tues '!G75+Wed!G75+Fri!G75+'Mon '!G75+'Wed (2)'!G75+Sun!G75+Sat!G75)</f>
        <v>0</v>
      </c>
      <c r="H75" s="103">
        <f>('Thurs (2)'!H75+Thurs!H75+'Tues '!H75+Wed!H75+Fri!H75+'Mon '!H75+'Wed (2)'!H75+Sun!H75+Sat!H75)</f>
        <v>0</v>
      </c>
      <c r="I75" s="103">
        <f>('Thurs (2)'!I75+Thurs!I75+'Tues '!I75+Wed!I75+Fri!I75+'Mon '!I75+'Wed (2)'!I75+Sun!I75+Sat!I75)</f>
        <v>0</v>
      </c>
      <c r="J75" s="103">
        <f>('Thurs (2)'!J75+Thurs!J75+'Tues '!J75+Wed!J75+Fri!J75+'Mon '!J75+'Wed (2)'!J75+Sun!J75+Sat!J75)</f>
        <v>0</v>
      </c>
      <c r="K75" s="103">
        <f>('Thurs (2)'!K75+Thurs!K75+'Tues '!K75+Wed!K75+Fri!K75+'Mon '!K75+'Wed (2)'!K75+Sun!K75+Sat!K75)</f>
        <v>0</v>
      </c>
      <c r="L75" s="103">
        <f>('Thurs (2)'!L75+Thurs!L75+'Tues '!L75+Wed!L75+Fri!L75+'Mon '!L75+'Wed (2)'!L75+Sun!L75+Sat!L75)</f>
        <v>0</v>
      </c>
      <c r="M75" s="103">
        <f>('Thurs (2)'!M75+Thurs!M75+'Tues '!M75+Wed!M75+Fri!M75+'Mon '!M75+'Wed (2)'!M75+Sun!M75+Sat!M75)</f>
        <v>0</v>
      </c>
      <c r="N75" s="103">
        <f>('Thurs (2)'!N75+Thurs!N75+'Tues '!N75+Wed!N75+Fri!N75+'Mon '!N75+'Wed (2)'!N75+Sun!N75+Sat!N75)</f>
        <v>0</v>
      </c>
      <c r="O75" s="103">
        <f>('Thurs (2)'!O75+Thurs!O75+'Tues '!O75+Wed!O75+Fri!O75+'Mon '!O75+'Wed (2)'!O75+Sun!O75+Sat!O75)</f>
        <v>0</v>
      </c>
      <c r="P75" s="103">
        <f>('Thurs (2)'!P75+Thurs!P75+'Tues '!P75+Wed!P75+Fri!P75+'Mon '!P75+'Wed (2)'!P75+Sun!P75+Sat!P75)</f>
        <v>0</v>
      </c>
      <c r="Q75" s="103">
        <f>('Thurs (2)'!Q75+Thurs!Q75+'Tues '!Q75+Wed!Q75+Fri!Q75+'Mon '!Q75+'Wed (2)'!Q75+Sun!Q75+Sat!Q75)</f>
        <v>0</v>
      </c>
      <c r="R75" s="103">
        <f>('Thurs (2)'!R75+Thurs!R75+'Tues '!R75+Wed!R75+Fri!R75+'Mon '!R75+'Wed (2)'!R75+Sun!R75+Sat!R75)</f>
        <v>0</v>
      </c>
      <c r="S75" s="103">
        <f>('Thurs (2)'!S75+Thurs!S75+'Tues '!S75+Wed!S75+Fri!S75+'Mon '!S75+'Wed (2)'!S75+Sun!S75+Sat!S75)</f>
        <v>0</v>
      </c>
      <c r="T75" s="103">
        <f>('Thurs (2)'!T75+Thurs!T75+'Tues '!T75+Wed!T75+Fri!T75+'Mon '!T75+'Wed (2)'!T75+Sun!T75+Sat!T75)</f>
        <v>0</v>
      </c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96</v>
      </c>
      <c r="G76" s="103">
        <f>('Thurs (2)'!G76+Thurs!G76+'Tues '!G76+Wed!G76+Fri!G76+'Mon '!G76+'Wed (2)'!G76+Sun!G76+Sat!G76)</f>
        <v>0</v>
      </c>
      <c r="H76" s="103">
        <f>('Thurs (2)'!H76+Thurs!H76+'Tues '!H76+Wed!H76+Fri!H76+'Mon '!H76+'Wed (2)'!H76+Sun!H76+Sat!H76)</f>
        <v>0</v>
      </c>
      <c r="I76" s="103">
        <f>('Thurs (2)'!I76+Thurs!I76+'Tues '!I76+Wed!I76+Fri!I76+'Mon '!I76+'Wed (2)'!I76+Sun!I76+Sat!I76)</f>
        <v>0</v>
      </c>
      <c r="J76" s="103">
        <f>('Thurs (2)'!J76+Thurs!J76+'Tues '!J76+Wed!J76+Fri!J76+'Mon '!J76+'Wed (2)'!J76+Sun!J76+Sat!J76)</f>
        <v>0</v>
      </c>
      <c r="K76" s="103">
        <f>('Thurs (2)'!K76+Thurs!K76+'Tues '!K76+Wed!K76+Fri!K76+'Mon '!K76+'Wed (2)'!K76+Sun!K76+Sat!K76)</f>
        <v>0</v>
      </c>
      <c r="L76" s="103">
        <f>('Thurs (2)'!L76+Thurs!L76+'Tues '!L76+Wed!L76+Fri!L76+'Mon '!L76+'Wed (2)'!L76+Sun!L76+Sat!L76)</f>
        <v>0</v>
      </c>
      <c r="M76" s="103">
        <f>('Thurs (2)'!M76+Thurs!M76+'Tues '!M76+Wed!M76+Fri!M76+'Mon '!M76+'Wed (2)'!M76+Sun!M76+Sat!M76)</f>
        <v>0</v>
      </c>
      <c r="N76" s="103">
        <f>('Thurs (2)'!N76+Thurs!N76+'Tues '!N76+Wed!N76+Fri!N76+'Mon '!N76+'Wed (2)'!N76+Sun!N76+Sat!N76)</f>
        <v>0</v>
      </c>
      <c r="O76" s="103">
        <f>('Thurs (2)'!O76+Thurs!O76+'Tues '!O76+Wed!O76+Fri!O76+'Mon '!O76+'Wed (2)'!O76+Sun!O76+Sat!O76)</f>
        <v>0</v>
      </c>
      <c r="P76" s="103">
        <f>('Thurs (2)'!P76+Thurs!P76+'Tues '!P76+Wed!P76+Fri!P76+'Mon '!P76+'Wed (2)'!P76+Sun!P76+Sat!P76)</f>
        <v>0</v>
      </c>
      <c r="Q76" s="103">
        <f>('Thurs (2)'!Q76+Thurs!Q76+'Tues '!Q76+Wed!Q76+Fri!Q76+'Mon '!Q76+'Wed (2)'!Q76+Sun!Q76+Sat!Q76)</f>
        <v>0</v>
      </c>
      <c r="R76" s="103">
        <f>('Thurs (2)'!R76+Thurs!R76+'Tues '!R76+Wed!R76+Fri!R76+'Mon '!R76+'Wed (2)'!R76+Sun!R76+Sat!R76)</f>
        <v>0</v>
      </c>
      <c r="S76" s="103">
        <f>('Thurs (2)'!S76+Thurs!S76+'Tues '!S76+Wed!S76+Fri!S76+'Mon '!S76+'Wed (2)'!S76+Sun!S76+Sat!S76)</f>
        <v>0</v>
      </c>
      <c r="T76" s="103">
        <f>('Thurs (2)'!T76+Thurs!T76+'Tues '!T76+Wed!T76+Fri!T76+'Mon '!T76+'Wed (2)'!T76+Sun!T76+Sat!T76)</f>
        <v>0</v>
      </c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97</v>
      </c>
      <c r="G77" s="103">
        <f>('Thurs (2)'!G77+Thurs!G77+'Tues '!G77+Wed!G77+Fri!G77+'Mon '!G77+'Wed (2)'!G77+Sun!G77+Sat!G77)</f>
        <v>0</v>
      </c>
      <c r="H77" s="103">
        <f>('Thurs (2)'!H77+Thurs!H77+'Tues '!H77+Wed!H77+Fri!H77+'Mon '!H77+'Wed (2)'!H77+Sun!H77+Sat!H77)</f>
        <v>0</v>
      </c>
      <c r="I77" s="103">
        <f>('Thurs (2)'!I77+Thurs!I77+'Tues '!I77+Wed!I77+Fri!I77+'Mon '!I77+'Wed (2)'!I77+Sun!I77+Sat!I77)</f>
        <v>0</v>
      </c>
      <c r="J77" s="103">
        <f>('Thurs (2)'!J77+Thurs!J77+'Tues '!J77+Wed!J77+Fri!J77+'Mon '!J77+'Wed (2)'!J77+Sun!J77+Sat!J77)</f>
        <v>0</v>
      </c>
      <c r="K77" s="103">
        <f>('Thurs (2)'!K77+Thurs!K77+'Tues '!K77+Wed!K77+Fri!K77+'Mon '!K77+'Wed (2)'!K77+Sun!K77+Sat!K77)</f>
        <v>0</v>
      </c>
      <c r="L77" s="103">
        <f>('Thurs (2)'!L77+Thurs!L77+'Tues '!L77+Wed!L77+Fri!L77+'Mon '!L77+'Wed (2)'!L77+Sun!L77+Sat!L77)</f>
        <v>0</v>
      </c>
      <c r="M77" s="103">
        <f>('Thurs (2)'!M77+Thurs!M77+'Tues '!M77+Wed!M77+Fri!M77+'Mon '!M77+'Wed (2)'!M77+Sun!M77+Sat!M77)</f>
        <v>0</v>
      </c>
      <c r="N77" s="103">
        <f>('Thurs (2)'!N77+Thurs!N77+'Tues '!N77+Wed!N77+Fri!N77+'Mon '!N77+'Wed (2)'!N77+Sun!N77+Sat!N77)</f>
        <v>0</v>
      </c>
      <c r="O77" s="103">
        <f>('Thurs (2)'!O77+Thurs!O77+'Tues '!O77+Wed!O77+Fri!O77+'Mon '!O77+'Wed (2)'!O77+Sun!O77+Sat!O77)</f>
        <v>0</v>
      </c>
      <c r="P77" s="103">
        <f>('Thurs (2)'!P77+Thurs!P77+'Tues '!P77+Wed!P77+Fri!P77+'Mon '!P77+'Wed (2)'!P77+Sun!P77+Sat!P77)</f>
        <v>0</v>
      </c>
      <c r="Q77" s="103">
        <f>('Thurs (2)'!Q77+Thurs!Q77+'Tues '!Q77+Wed!Q77+Fri!Q77+'Mon '!Q77+'Wed (2)'!Q77+Sun!Q77+Sat!Q77)</f>
        <v>0</v>
      </c>
      <c r="R77" s="103">
        <f>('Thurs (2)'!R77+Thurs!R77+'Tues '!R77+Wed!R77+Fri!R77+'Mon '!R77+'Wed (2)'!R77+Sun!R77+Sat!R77)</f>
        <v>0</v>
      </c>
      <c r="S77" s="103">
        <f>('Thurs (2)'!S77+Thurs!S77+'Tues '!S77+Wed!S77+Fri!S77+'Mon '!S77+'Wed (2)'!S77+Sun!S77+Sat!S77)</f>
        <v>0</v>
      </c>
      <c r="T77" s="103">
        <f>('Thurs (2)'!T77+Thurs!T77+'Tues '!T77+Wed!T77+Fri!T77+'Mon '!T77+'Wed (2)'!T77+Sun!T77+Sat!T77)</f>
        <v>0</v>
      </c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98</v>
      </c>
      <c r="G78" s="103">
        <f>('Thurs (2)'!G78+Thurs!G78+'Tues '!G78+Wed!G78+Fri!G78+'Mon '!G78+'Wed (2)'!G78+Sun!G78+Sat!G78)</f>
        <v>0</v>
      </c>
      <c r="H78" s="103">
        <f>('Thurs (2)'!H78+Thurs!H78+'Tues '!H78+Wed!H78+Fri!H78+'Mon '!H78+'Wed (2)'!H78+Sun!H78+Sat!H78)</f>
        <v>0</v>
      </c>
      <c r="I78" s="103">
        <f>('Thurs (2)'!I78+Thurs!I78+'Tues '!I78+Wed!I78+Fri!I78+'Mon '!I78+'Wed (2)'!I78+Sun!I78+Sat!I78)</f>
        <v>0</v>
      </c>
      <c r="J78" s="103">
        <f>('Thurs (2)'!J78+Thurs!J78+'Tues '!J78+Wed!J78+Fri!J78+'Mon '!J78+'Wed (2)'!J78+Sun!J78+Sat!J78)</f>
        <v>0</v>
      </c>
      <c r="K78" s="103">
        <f>('Thurs (2)'!K78+Thurs!K78+'Tues '!K78+Wed!K78+Fri!K78+'Mon '!K78+'Wed (2)'!K78+Sun!K78+Sat!K78)</f>
        <v>0</v>
      </c>
      <c r="L78" s="103">
        <f>('Thurs (2)'!L78+Thurs!L78+'Tues '!L78+Wed!L78+Fri!L78+'Mon '!L78+'Wed (2)'!L78+Sun!L78+Sat!L78)</f>
        <v>0</v>
      </c>
      <c r="M78" s="103">
        <f>('Thurs (2)'!M78+Thurs!M78+'Tues '!M78+Wed!M78+Fri!M78+'Mon '!M78+'Wed (2)'!M78+Sun!M78+Sat!M78)</f>
        <v>0</v>
      </c>
      <c r="N78" s="103">
        <f>('Thurs (2)'!N78+Thurs!N78+'Tues '!N78+Wed!N78+Fri!N78+'Mon '!N78+'Wed (2)'!N78+Sun!N78+Sat!N78)</f>
        <v>0</v>
      </c>
      <c r="O78" s="103">
        <f>('Thurs (2)'!O78+Thurs!O78+'Tues '!O78+Wed!O78+Fri!O78+'Mon '!O78+'Wed (2)'!O78+Sun!O78+Sat!O78)</f>
        <v>0</v>
      </c>
      <c r="P78" s="103">
        <f>('Thurs (2)'!P78+Thurs!P78+'Tues '!P78+Wed!P78+Fri!P78+'Mon '!P78+'Wed (2)'!P78+Sun!P78+Sat!P78)</f>
        <v>0</v>
      </c>
      <c r="Q78" s="103">
        <f>('Thurs (2)'!Q78+Thurs!Q78+'Tues '!Q78+Wed!Q78+Fri!Q78+'Mon '!Q78+'Wed (2)'!Q78+Sun!Q78+Sat!Q78)</f>
        <v>0</v>
      </c>
      <c r="R78" s="103">
        <f>('Thurs (2)'!R78+Thurs!R78+'Tues '!R78+Wed!R78+Fri!R78+'Mon '!R78+'Wed (2)'!R78+Sun!R78+Sat!R78)</f>
        <v>0</v>
      </c>
      <c r="S78" s="103">
        <f>('Thurs (2)'!S78+Thurs!S78+'Tues '!S78+Wed!S78+Fri!S78+'Mon '!S78+'Wed (2)'!S78+Sun!S78+Sat!S78)</f>
        <v>0</v>
      </c>
      <c r="T78" s="103">
        <f>('Thurs (2)'!T78+Thurs!T78+'Tues '!T78+Wed!T78+Fri!T78+'Mon '!T78+'Wed (2)'!T78+Sun!T78+Sat!T78)</f>
        <v>0</v>
      </c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99</v>
      </c>
      <c r="G79" s="103">
        <f>('Thurs (2)'!G79+Thurs!G79+'Tues '!G79+Wed!G79+Fri!G79+'Mon '!G79+'Wed (2)'!G79+Sun!G79+Sat!G79)</f>
        <v>1</v>
      </c>
      <c r="H79" s="103">
        <f>('Thurs (2)'!H79+Thurs!H79+'Tues '!H79+Wed!H79+Fri!H79+'Mon '!H79+'Wed (2)'!H79+Sun!H79+Sat!H79)</f>
        <v>1</v>
      </c>
      <c r="I79" s="103">
        <f>('Thurs (2)'!I79+Thurs!I79+'Tues '!I79+Wed!I79+Fri!I79+'Mon '!I79+'Wed (2)'!I79+Sun!I79+Sat!I79)</f>
        <v>1</v>
      </c>
      <c r="J79" s="103">
        <f>('Thurs (2)'!J79+Thurs!J79+'Tues '!J79+Wed!J79+Fri!J79+'Mon '!J79+'Wed (2)'!J79+Sun!J79+Sat!J79)</f>
        <v>1</v>
      </c>
      <c r="K79" s="103">
        <f>('Thurs (2)'!K79+Thurs!K79+'Tues '!K79+Wed!K79+Fri!K79+'Mon '!K79+'Wed (2)'!K79+Sun!K79+Sat!K79)</f>
        <v>1</v>
      </c>
      <c r="L79" s="103">
        <f>('Thurs (2)'!L79+Thurs!L79+'Tues '!L79+Wed!L79+Fri!L79+'Mon '!L79+'Wed (2)'!L79+Sun!L79+Sat!L79)</f>
        <v>0</v>
      </c>
      <c r="M79" s="103">
        <f>('Thurs (2)'!M79+Thurs!M79+'Tues '!M79+Wed!M79+Fri!M79+'Mon '!M79+'Wed (2)'!M79+Sun!M79+Sat!M79)</f>
        <v>0</v>
      </c>
      <c r="N79" s="103">
        <f>('Thurs (2)'!N79+Thurs!N79+'Tues '!N79+Wed!N79+Fri!N79+'Mon '!N79+'Wed (2)'!N79+Sun!N79+Sat!N79)</f>
        <v>1</v>
      </c>
      <c r="O79" s="103">
        <f>('Thurs (2)'!O79+Thurs!O79+'Tues '!O79+Wed!O79+Fri!O79+'Mon '!O79+'Wed (2)'!O79+Sun!O79+Sat!O79)</f>
        <v>1</v>
      </c>
      <c r="P79" s="103">
        <f>('Thurs (2)'!P79+Thurs!P79+'Tues '!P79+Wed!P79+Fri!P79+'Mon '!P79+'Wed (2)'!P79+Sun!P79+Sat!P79)</f>
        <v>0</v>
      </c>
      <c r="Q79" s="103">
        <f>('Thurs (2)'!Q79+Thurs!Q79+'Tues '!Q79+Wed!Q79+Fri!Q79+'Mon '!Q79+'Wed (2)'!Q79+Sun!Q79+Sat!Q79)</f>
        <v>0</v>
      </c>
      <c r="R79" s="103">
        <f>('Thurs (2)'!R79+Thurs!R79+'Tues '!R79+Wed!R79+Fri!R79+'Mon '!R79+'Wed (2)'!R79+Sun!R79+Sat!R79)</f>
        <v>0</v>
      </c>
      <c r="S79" s="103">
        <f>('Thurs (2)'!S79+Thurs!S79+'Tues '!S79+Wed!S79+Fri!S79+'Mon '!S79+'Wed (2)'!S79+Sun!S79+Sat!S79)</f>
        <v>0</v>
      </c>
      <c r="T79" s="103">
        <f>('Thurs (2)'!T79+Thurs!T79+'Tues '!T79+Wed!T79+Fri!T79+'Mon '!T79+'Wed (2)'!T79+Sun!T79+Sat!T79)</f>
        <v>3252</v>
      </c>
      <c r="U79" s="104">
        <f t="shared" si="6"/>
        <v>1</v>
      </c>
      <c r="V79" s="104">
        <f t="shared" si="7"/>
        <v>1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100</v>
      </c>
      <c r="F81" s="151" t="s">
        <v>33</v>
      </c>
      <c r="G81" s="103">
        <f>('Thurs (2)'!G81+Thurs!G81+'Tues '!G81+Wed!G81+Fri!G81+'Mon '!G81+'Wed (2)'!G81+Sun!G81+Sat!G81)</f>
        <v>0</v>
      </c>
      <c r="H81" s="103">
        <f>('Thurs (2)'!H81+Thurs!H81+'Tues '!H81+Wed!H81+Fri!H81+'Mon '!H81+'Wed (2)'!H81+Sun!H81+Sat!H81)</f>
        <v>0</v>
      </c>
      <c r="I81" s="103">
        <f>('Thurs (2)'!I81+Thurs!I81+'Tues '!I81+Wed!I81+Fri!I81+'Mon '!I81+'Wed (2)'!I81+Sun!I81+Sat!I81)</f>
        <v>0</v>
      </c>
      <c r="J81" s="103">
        <f>('Thurs (2)'!J81+Thurs!J81+'Tues '!J81+Wed!J81+Fri!J81+'Mon '!J81+'Wed (2)'!J81+Sun!J81+Sat!J81)</f>
        <v>0</v>
      </c>
      <c r="K81" s="103">
        <f>('Thurs (2)'!K81+Thurs!K81+'Tues '!K81+Wed!K81+Fri!K81+'Mon '!K81+'Wed (2)'!K81+Sun!K81+Sat!K81)</f>
        <v>0</v>
      </c>
      <c r="L81" s="103">
        <f>('Thurs (2)'!L81+Thurs!L81+'Tues '!L81+Wed!L81+Fri!L81+'Mon '!L81+'Wed (2)'!L81+Sun!L81+Sat!L81)</f>
        <v>0</v>
      </c>
      <c r="M81" s="103">
        <f>('Thurs (2)'!M81+Thurs!M81+'Tues '!M81+Wed!M81+Fri!M81+'Mon '!M81+'Wed (2)'!M81+Sun!M81+Sat!M81)</f>
        <v>0</v>
      </c>
      <c r="N81" s="103">
        <f>('Thurs (2)'!N81+Thurs!N81+'Tues '!N81+Wed!N81+Fri!N81+'Mon '!N81+'Wed (2)'!N81+Sun!N81+Sat!N81)</f>
        <v>0</v>
      </c>
      <c r="O81" s="103">
        <f>('Thurs (2)'!O81+Thurs!O81+'Tues '!O81+Wed!O81+Fri!O81+'Mon '!O81+'Wed (2)'!O81+Sun!O81+Sat!O81)</f>
        <v>0</v>
      </c>
      <c r="P81" s="103">
        <f>('Thurs (2)'!P81+Thurs!P81+'Tues '!P81+Wed!P81+Fri!P81+'Mon '!P81+'Wed (2)'!P81+Sun!P81+Sat!P81)</f>
        <v>0</v>
      </c>
      <c r="Q81" s="103">
        <f>('Thurs (2)'!Q81+Thurs!Q81+'Tues '!Q81+Wed!Q81+Fri!Q81+'Mon '!Q81+'Wed (2)'!Q81+Sun!Q81+Sat!Q81)</f>
        <v>0</v>
      </c>
      <c r="R81" s="103">
        <f>('Thurs (2)'!R81+Thurs!R81+'Tues '!R81+Wed!R81+Fri!R81+'Mon '!R81+'Wed (2)'!R81+Sun!R81+Sat!R81)</f>
        <v>0</v>
      </c>
      <c r="S81" s="103">
        <f>('Thurs (2)'!S81+Thurs!S81+'Tues '!S81+Wed!S81+Fri!S81+'Mon '!S81+'Wed (2)'!S81+Sun!S81+Sat!S81)</f>
        <v>0</v>
      </c>
      <c r="T81" s="103">
        <f>('Thurs (2)'!T81+Thurs!T81+'Tues '!T81+Wed!T81+Fri!T81+'Mon '!T81+'Wed (2)'!T81+Sun!T81+Sat!T81)</f>
        <v>0</v>
      </c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101</v>
      </c>
      <c r="G82" s="103">
        <f>('Thurs (2)'!G82+Thurs!G82+'Tues '!G82+Wed!G82+Fri!G82+'Mon '!G82+'Wed (2)'!G82+Sun!G82+Sat!G82)</f>
        <v>0</v>
      </c>
      <c r="H82" s="103">
        <f>('Thurs (2)'!H82+Thurs!H82+'Tues '!H82+Wed!H82+Fri!H82+'Mon '!H82+'Wed (2)'!H82+Sun!H82+Sat!H82)</f>
        <v>0</v>
      </c>
      <c r="I82" s="103">
        <f>('Thurs (2)'!I82+Thurs!I82+'Tues '!I82+Wed!I82+Fri!I82+'Mon '!I82+'Wed (2)'!I82+Sun!I82+Sat!I82)</f>
        <v>0</v>
      </c>
      <c r="J82" s="103">
        <f>('Thurs (2)'!J82+Thurs!J82+'Tues '!J82+Wed!J82+Fri!J82+'Mon '!J82+'Wed (2)'!J82+Sun!J82+Sat!J82)</f>
        <v>0</v>
      </c>
      <c r="K82" s="103">
        <f>('Thurs (2)'!K82+Thurs!K82+'Tues '!K82+Wed!K82+Fri!K82+'Mon '!K82+'Wed (2)'!K82+Sun!K82+Sat!K82)</f>
        <v>0</v>
      </c>
      <c r="L82" s="103">
        <f>('Thurs (2)'!L82+Thurs!L82+'Tues '!L82+Wed!L82+Fri!L82+'Mon '!L82+'Wed (2)'!L82+Sun!L82+Sat!L82)</f>
        <v>0</v>
      </c>
      <c r="M82" s="103">
        <f>('Thurs (2)'!M82+Thurs!M82+'Tues '!M82+Wed!M82+Fri!M82+'Mon '!M82+'Wed (2)'!M82+Sun!M82+Sat!M82)</f>
        <v>0</v>
      </c>
      <c r="N82" s="103">
        <f>('Thurs (2)'!N82+Thurs!N82+'Tues '!N82+Wed!N82+Fri!N82+'Mon '!N82+'Wed (2)'!N82+Sun!N82+Sat!N82)</f>
        <v>0</v>
      </c>
      <c r="O82" s="103">
        <f>('Thurs (2)'!O82+Thurs!O82+'Tues '!O82+Wed!O82+Fri!O82+'Mon '!O82+'Wed (2)'!O82+Sun!O82+Sat!O82)</f>
        <v>0</v>
      </c>
      <c r="P82" s="103">
        <f>('Thurs (2)'!P82+Thurs!P82+'Tues '!P82+Wed!P82+Fri!P82+'Mon '!P82+'Wed (2)'!P82+Sun!P82+Sat!P82)</f>
        <v>0</v>
      </c>
      <c r="Q82" s="103">
        <f>('Thurs (2)'!Q82+Thurs!Q82+'Tues '!Q82+Wed!Q82+Fri!Q82+'Mon '!Q82+'Wed (2)'!Q82+Sun!Q82+Sat!Q82)</f>
        <v>0</v>
      </c>
      <c r="R82" s="103">
        <f>('Thurs (2)'!R82+Thurs!R82+'Tues '!R82+Wed!R82+Fri!R82+'Mon '!R82+'Wed (2)'!R82+Sun!R82+Sat!R82)</f>
        <v>0</v>
      </c>
      <c r="S82" s="103">
        <f>('Thurs (2)'!S82+Thurs!S82+'Tues '!S82+Wed!S82+Fri!S82+'Mon '!S82+'Wed (2)'!S82+Sun!S82+Sat!S82)</f>
        <v>0</v>
      </c>
      <c r="T82" s="103">
        <f>('Thurs (2)'!T82+Thurs!T82+'Tues '!T82+Wed!T82+Fri!T82+'Mon '!T82+'Wed (2)'!T82+Sun!T82+Sat!T82)</f>
        <v>0</v>
      </c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102</v>
      </c>
      <c r="D83" s="115" t="s">
        <v>52</v>
      </c>
      <c r="E83" s="112" t="s">
        <v>64</v>
      </c>
      <c r="F83" s="114" t="s">
        <v>102</v>
      </c>
      <c r="G83" s="103">
        <f>('Thurs (2)'!G83+Thurs!G83+'Tues '!G83+Wed!G83+Fri!G83+'Mon '!G83+'Wed (2)'!G83+Sun!G83+Sat!G83)</f>
        <v>1</v>
      </c>
      <c r="H83" s="103">
        <f>('Thurs (2)'!H83+Thurs!H83+'Tues '!H83+Wed!H83+Fri!H83+'Mon '!H83+'Wed (2)'!H83+Sun!H83+Sat!H83)</f>
        <v>0</v>
      </c>
      <c r="I83" s="103">
        <f>('Thurs (2)'!I83+Thurs!I83+'Tues '!I83+Wed!I83+Fri!I83+'Mon '!I83+'Wed (2)'!I83+Sun!I83+Sat!I83)</f>
        <v>0</v>
      </c>
      <c r="J83" s="103">
        <f>('Thurs (2)'!J83+Thurs!J83+'Tues '!J83+Wed!J83+Fri!J83+'Mon '!J83+'Wed (2)'!J83+Sun!J83+Sat!J83)</f>
        <v>0</v>
      </c>
      <c r="K83" s="103">
        <f>('Thurs (2)'!K83+Thurs!K83+'Tues '!K83+Wed!K83+Fri!K83+'Mon '!K83+'Wed (2)'!K83+Sun!K83+Sat!K83)</f>
        <v>0</v>
      </c>
      <c r="L83" s="103">
        <f>('Thurs (2)'!L83+Thurs!L83+'Tues '!L83+Wed!L83+Fri!L83+'Mon '!L83+'Wed (2)'!L83+Sun!L83+Sat!L83)</f>
        <v>0</v>
      </c>
      <c r="M83" s="103">
        <f>('Thurs (2)'!M83+Thurs!M83+'Tues '!M83+Wed!M83+Fri!M83+'Mon '!M83+'Wed (2)'!M83+Sun!M83+Sat!M83)</f>
        <v>0</v>
      </c>
      <c r="N83" s="103">
        <f>('Thurs (2)'!N83+Thurs!N83+'Tues '!N83+Wed!N83+Fri!N83+'Mon '!N83+'Wed (2)'!N83+Sun!N83+Sat!N83)</f>
        <v>0</v>
      </c>
      <c r="O83" s="103">
        <f>('Thurs (2)'!O83+Thurs!O83+'Tues '!O83+Wed!O83+Fri!O83+'Mon '!O83+'Wed (2)'!O83+Sun!O83+Sat!O83)</f>
        <v>0</v>
      </c>
      <c r="P83" s="103">
        <f>('Thurs (2)'!P83+Thurs!P83+'Tues '!P83+Wed!P83+Fri!P83+'Mon '!P83+'Wed (2)'!P83+Sun!P83+Sat!P83)</f>
        <v>0</v>
      </c>
      <c r="Q83" s="103">
        <f>('Thurs (2)'!Q83+Thurs!Q83+'Tues '!Q83+Wed!Q83+Fri!Q83+'Mon '!Q83+'Wed (2)'!Q83+Sun!Q83+Sat!Q83)</f>
        <v>0</v>
      </c>
      <c r="R83" s="103">
        <f>('Thurs (2)'!R83+Thurs!R83+'Tues '!R83+Wed!R83+Fri!R83+'Mon '!R83+'Wed (2)'!R83+Sun!R83+Sat!R83)</f>
        <v>0</v>
      </c>
      <c r="S83" s="103">
        <f>('Thurs (2)'!S83+Thurs!S83+'Tues '!S83+Wed!S83+Fri!S83+'Mon '!S83+'Wed (2)'!S83+Sun!S83+Sat!S83)</f>
        <v>0</v>
      </c>
      <c r="T83" s="103">
        <f>('Thurs (2)'!T83+Thurs!T83+'Tues '!T83+Wed!T83+Fri!T83+'Mon '!T83+'Wed (2)'!T83+Sun!T83+Sat!T83)</f>
        <v>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102</v>
      </c>
      <c r="D84" s="115"/>
      <c r="E84" s="112"/>
      <c r="F84" s="157" t="s">
        <v>103</v>
      </c>
      <c r="G84" s="103">
        <f>('Thurs (2)'!G84+Thurs!G84+'Tues '!G84+Wed!G84+Fri!G84+'Mon '!G84+'Wed (2)'!G84+Sun!G84+Sat!G84)</f>
        <v>0</v>
      </c>
      <c r="H84" s="103">
        <f>('Thurs (2)'!H84+Thurs!H84+'Tues '!H84+Wed!H84+Fri!H84+'Mon '!H84+'Wed (2)'!H84+Sun!H84+Sat!H84)</f>
        <v>0</v>
      </c>
      <c r="I84" s="103">
        <f>('Thurs (2)'!I84+Thurs!I84+'Tues '!I84+Wed!I84+Fri!I84+'Mon '!I84+'Wed (2)'!I84+Sun!I84+Sat!I84)</f>
        <v>0</v>
      </c>
      <c r="J84" s="103">
        <f>('Thurs (2)'!J84+Thurs!J84+'Tues '!J84+Wed!J84+Fri!J84+'Mon '!J84+'Wed (2)'!J84+Sun!J84+Sat!J84)</f>
        <v>0</v>
      </c>
      <c r="K84" s="103">
        <f>('Thurs (2)'!K84+Thurs!K84+'Tues '!K84+Wed!K84+Fri!K84+'Mon '!K84+'Wed (2)'!K84+Sun!K84+Sat!K84)</f>
        <v>0</v>
      </c>
      <c r="L84" s="103">
        <f>('Thurs (2)'!L84+Thurs!L84+'Tues '!L84+Wed!L84+Fri!L84+'Mon '!L84+'Wed (2)'!L84+Sun!L84+Sat!L84)</f>
        <v>0</v>
      </c>
      <c r="M84" s="103">
        <f>('Thurs (2)'!M84+Thurs!M84+'Tues '!M84+Wed!M84+Fri!M84+'Mon '!M84+'Wed (2)'!M84+Sun!M84+Sat!M84)</f>
        <v>0</v>
      </c>
      <c r="N84" s="103">
        <f>('Thurs (2)'!N84+Thurs!N84+'Tues '!N84+Wed!N84+Fri!N84+'Mon '!N84+'Wed (2)'!N84+Sun!N84+Sat!N84)</f>
        <v>0</v>
      </c>
      <c r="O84" s="103">
        <f>('Thurs (2)'!O84+Thurs!O84+'Tues '!O84+Wed!O84+Fri!O84+'Mon '!O84+'Wed (2)'!O84+Sun!O84+Sat!O84)</f>
        <v>0</v>
      </c>
      <c r="P84" s="103">
        <f>('Thurs (2)'!P84+Thurs!P84+'Tues '!P84+Wed!P84+Fri!P84+'Mon '!P84+'Wed (2)'!P84+Sun!P84+Sat!P84)</f>
        <v>0</v>
      </c>
      <c r="Q84" s="103">
        <f>('Thurs (2)'!Q84+Thurs!Q84+'Tues '!Q84+Wed!Q84+Fri!Q84+'Mon '!Q84+'Wed (2)'!Q84+Sun!Q84+Sat!Q84)</f>
        <v>0</v>
      </c>
      <c r="R84" s="103">
        <f>('Thurs (2)'!R84+Thurs!R84+'Tues '!R84+Wed!R84+Fri!R84+'Mon '!R84+'Wed (2)'!R84+Sun!R84+Sat!R84)</f>
        <v>0</v>
      </c>
      <c r="S84" s="103">
        <f>('Thurs (2)'!S84+Thurs!S84+'Tues '!S84+Wed!S84+Fri!S84+'Mon '!S84+'Wed (2)'!S84+Sun!S84+Sat!S84)</f>
        <v>0</v>
      </c>
      <c r="T84" s="103">
        <f>('Thurs (2)'!T84+Thurs!T84+'Tues '!T84+Wed!T84+Fri!T84+'Mon '!T84+'Wed (2)'!T84+Sun!T84+Sat!T84)</f>
        <v>0</v>
      </c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102</v>
      </c>
      <c r="D85" s="115"/>
      <c r="E85" s="112"/>
      <c r="F85" s="157" t="s">
        <v>104</v>
      </c>
      <c r="G85" s="103">
        <f>('Thurs (2)'!G85+Thurs!G85+'Tues '!G85+Wed!G85+Fri!G85+'Mon '!G85+'Wed (2)'!G85+Sun!G85+Sat!G85)</f>
        <v>0</v>
      </c>
      <c r="H85" s="103">
        <f>('Thurs (2)'!H85+Thurs!H85+'Tues '!H85+Wed!H85+Fri!H85+'Mon '!H85+'Wed (2)'!H85+Sun!H85+Sat!H85)</f>
        <v>0</v>
      </c>
      <c r="I85" s="103">
        <f>('Thurs (2)'!I85+Thurs!I85+'Tues '!I85+Wed!I85+Fri!I85+'Mon '!I85+'Wed (2)'!I85+Sun!I85+Sat!I85)</f>
        <v>0</v>
      </c>
      <c r="J85" s="103">
        <f>('Thurs (2)'!J85+Thurs!J85+'Tues '!J85+Wed!J85+Fri!J85+'Mon '!J85+'Wed (2)'!J85+Sun!J85+Sat!J85)</f>
        <v>0</v>
      </c>
      <c r="K85" s="103">
        <f>('Thurs (2)'!K85+Thurs!K85+'Tues '!K85+Wed!K85+Fri!K85+'Mon '!K85+'Wed (2)'!K85+Sun!K85+Sat!K85)</f>
        <v>0</v>
      </c>
      <c r="L85" s="103">
        <f>('Thurs (2)'!L85+Thurs!L85+'Tues '!L85+Wed!L85+Fri!L85+'Mon '!L85+'Wed (2)'!L85+Sun!L85+Sat!L85)</f>
        <v>0</v>
      </c>
      <c r="M85" s="103">
        <f>('Thurs (2)'!M85+Thurs!M85+'Tues '!M85+Wed!M85+Fri!M85+'Mon '!M85+'Wed (2)'!M85+Sun!M85+Sat!M85)</f>
        <v>0</v>
      </c>
      <c r="N85" s="103">
        <f>('Thurs (2)'!N85+Thurs!N85+'Tues '!N85+Wed!N85+Fri!N85+'Mon '!N85+'Wed (2)'!N85+Sun!N85+Sat!N85)</f>
        <v>0</v>
      </c>
      <c r="O85" s="103">
        <f>('Thurs (2)'!O85+Thurs!O85+'Tues '!O85+Wed!O85+Fri!O85+'Mon '!O85+'Wed (2)'!O85+Sun!O85+Sat!O85)</f>
        <v>0</v>
      </c>
      <c r="P85" s="103">
        <f>('Thurs (2)'!P85+Thurs!P85+'Tues '!P85+Wed!P85+Fri!P85+'Mon '!P85+'Wed (2)'!P85+Sun!P85+Sat!P85)</f>
        <v>0</v>
      </c>
      <c r="Q85" s="103">
        <f>('Thurs (2)'!Q85+Thurs!Q85+'Tues '!Q85+Wed!Q85+Fri!Q85+'Mon '!Q85+'Wed (2)'!Q85+Sun!Q85+Sat!Q85)</f>
        <v>0</v>
      </c>
      <c r="R85" s="103">
        <f>('Thurs (2)'!R85+Thurs!R85+'Tues '!R85+Wed!R85+Fri!R85+'Mon '!R85+'Wed (2)'!R85+Sun!R85+Sat!R85)</f>
        <v>0</v>
      </c>
      <c r="S85" s="103">
        <f>('Thurs (2)'!S85+Thurs!S85+'Tues '!S85+Wed!S85+Fri!S85+'Mon '!S85+'Wed (2)'!S85+Sun!S85+Sat!S85)</f>
        <v>0</v>
      </c>
      <c r="T85" s="103">
        <f>('Thurs (2)'!T85+Thurs!T85+'Tues '!T85+Wed!T85+Fri!T85+'Mon '!T85+'Wed (2)'!T85+Sun!T85+Sat!T85)</f>
        <v>0</v>
      </c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102</v>
      </c>
      <c r="D86" s="115"/>
      <c r="E86" s="112"/>
      <c r="F86" s="157" t="s">
        <v>105</v>
      </c>
      <c r="G86" s="103">
        <f>('Thurs (2)'!G86+Thurs!G86+'Tues '!G86+Wed!G86+Fri!G86+'Mon '!G86+'Wed (2)'!G86+Sun!G86+Sat!G86)</f>
        <v>0</v>
      </c>
      <c r="H86" s="103">
        <f>('Thurs (2)'!H86+Thurs!H86+'Tues '!H86+Wed!H86+Fri!H86+'Mon '!H86+'Wed (2)'!H86+Sun!H86+Sat!H86)</f>
        <v>0</v>
      </c>
      <c r="I86" s="103">
        <f>('Thurs (2)'!I86+Thurs!I86+'Tues '!I86+Wed!I86+Fri!I86+'Mon '!I86+'Wed (2)'!I86+Sun!I86+Sat!I86)</f>
        <v>0</v>
      </c>
      <c r="J86" s="103">
        <f>('Thurs (2)'!J86+Thurs!J86+'Tues '!J86+Wed!J86+Fri!J86+'Mon '!J86+'Wed (2)'!J86+Sun!J86+Sat!J86)</f>
        <v>0</v>
      </c>
      <c r="K86" s="103">
        <f>('Thurs (2)'!K86+Thurs!K86+'Tues '!K86+Wed!K86+Fri!K86+'Mon '!K86+'Wed (2)'!K86+Sun!K86+Sat!K86)</f>
        <v>0</v>
      </c>
      <c r="L86" s="103">
        <f>('Thurs (2)'!L86+Thurs!L86+'Tues '!L86+Wed!L86+Fri!L86+'Mon '!L86+'Wed (2)'!L86+Sun!L86+Sat!L86)</f>
        <v>0</v>
      </c>
      <c r="M86" s="103">
        <f>('Thurs (2)'!M86+Thurs!M86+'Tues '!M86+Wed!M86+Fri!M86+'Mon '!M86+'Wed (2)'!M86+Sun!M86+Sat!M86)</f>
        <v>0</v>
      </c>
      <c r="N86" s="103">
        <f>('Thurs (2)'!N86+Thurs!N86+'Tues '!N86+Wed!N86+Fri!N86+'Mon '!N86+'Wed (2)'!N86+Sun!N86+Sat!N86)</f>
        <v>0</v>
      </c>
      <c r="O86" s="103">
        <f>('Thurs (2)'!O86+Thurs!O86+'Tues '!O86+Wed!O86+Fri!O86+'Mon '!O86+'Wed (2)'!O86+Sun!O86+Sat!O86)</f>
        <v>0</v>
      </c>
      <c r="P86" s="103">
        <f>('Thurs (2)'!P86+Thurs!P86+'Tues '!P86+Wed!P86+Fri!P86+'Mon '!P86+'Wed (2)'!P86+Sun!P86+Sat!P86)</f>
        <v>0</v>
      </c>
      <c r="Q86" s="103">
        <f>('Thurs (2)'!Q86+Thurs!Q86+'Tues '!Q86+Wed!Q86+Fri!Q86+'Mon '!Q86+'Wed (2)'!Q86+Sun!Q86+Sat!Q86)</f>
        <v>0</v>
      </c>
      <c r="R86" s="103">
        <f>('Thurs (2)'!R86+Thurs!R86+'Tues '!R86+Wed!R86+Fri!R86+'Mon '!R86+'Wed (2)'!R86+Sun!R86+Sat!R86)</f>
        <v>0</v>
      </c>
      <c r="S86" s="103">
        <f>('Thurs (2)'!S86+Thurs!S86+'Tues '!S86+Wed!S86+Fri!S86+'Mon '!S86+'Wed (2)'!S86+Sun!S86+Sat!S86)</f>
        <v>0</v>
      </c>
      <c r="T86" s="103">
        <f>('Thurs (2)'!T86+Thurs!T86+'Tues '!T86+Wed!T86+Fri!T86+'Mon '!T86+'Wed (2)'!T86+Sun!T86+Sat!T86)</f>
        <v>0</v>
      </c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106</v>
      </c>
      <c r="D87" s="158" t="s">
        <v>52</v>
      </c>
      <c r="E87" s="132" t="s">
        <v>107</v>
      </c>
      <c r="F87" s="132" t="s">
        <v>106</v>
      </c>
      <c r="G87" s="103">
        <f>('Thurs (2)'!G87+Thurs!G87+'Tues '!G87+Wed!G87+Fri!G87+'Mon '!G87+'Wed (2)'!G87+Sun!G87+Sat!G87)</f>
        <v>0</v>
      </c>
      <c r="H87" s="103">
        <f>('Thurs (2)'!H87+Thurs!H87+'Tues '!H87+Wed!H87+Fri!H87+'Mon '!H87+'Wed (2)'!H87+Sun!H87+Sat!H87)</f>
        <v>0</v>
      </c>
      <c r="I87" s="103">
        <f>('Thurs (2)'!I87+Thurs!I87+'Tues '!I87+Wed!I87+Fri!I87+'Mon '!I87+'Wed (2)'!I87+Sun!I87+Sat!I87)</f>
        <v>0</v>
      </c>
      <c r="J87" s="103">
        <f>('Thurs (2)'!J87+Thurs!J87+'Tues '!J87+Wed!J87+Fri!J87+'Mon '!J87+'Wed (2)'!J87+Sun!J87+Sat!J87)</f>
        <v>0</v>
      </c>
      <c r="K87" s="103">
        <f>('Thurs (2)'!K87+Thurs!K87+'Tues '!K87+Wed!K87+Fri!K87+'Mon '!K87+'Wed (2)'!K87+Sun!K87+Sat!K87)</f>
        <v>0</v>
      </c>
      <c r="L87" s="103">
        <f>('Thurs (2)'!L87+Thurs!L87+'Tues '!L87+Wed!L87+Fri!L87+'Mon '!L87+'Wed (2)'!L87+Sun!L87+Sat!L87)</f>
        <v>0</v>
      </c>
      <c r="M87" s="103">
        <f>('Thurs (2)'!M87+Thurs!M87+'Tues '!M87+Wed!M87+Fri!M87+'Mon '!M87+'Wed (2)'!M87+Sun!M87+Sat!M87)</f>
        <v>0</v>
      </c>
      <c r="N87" s="103">
        <f>('Thurs (2)'!N87+Thurs!N87+'Tues '!N87+Wed!N87+Fri!N87+'Mon '!N87+'Wed (2)'!N87+Sun!N87+Sat!N87)</f>
        <v>0</v>
      </c>
      <c r="O87" s="103">
        <f>('Thurs (2)'!O87+Thurs!O87+'Tues '!O87+Wed!O87+Fri!O87+'Mon '!O87+'Wed (2)'!O87+Sun!O87+Sat!O87)</f>
        <v>0</v>
      </c>
      <c r="P87" s="103">
        <f>('Thurs (2)'!P87+Thurs!P87+'Tues '!P87+Wed!P87+Fri!P87+'Mon '!P87+'Wed (2)'!P87+Sun!P87+Sat!P87)</f>
        <v>0</v>
      </c>
      <c r="Q87" s="103">
        <f>('Thurs (2)'!Q87+Thurs!Q87+'Tues '!Q87+Wed!Q87+Fri!Q87+'Mon '!Q87+'Wed (2)'!Q87+Sun!Q87+Sat!Q87)</f>
        <v>0</v>
      </c>
      <c r="R87" s="103">
        <f>('Thurs (2)'!R87+Thurs!R87+'Tues '!R87+Wed!R87+Fri!R87+'Mon '!R87+'Wed (2)'!R87+Sun!R87+Sat!R87)</f>
        <v>0</v>
      </c>
      <c r="S87" s="103">
        <f>('Thurs (2)'!S87+Thurs!S87+'Tues '!S87+Wed!S87+Fri!S87+'Mon '!S87+'Wed (2)'!S87+Sun!S87+Sat!S87)</f>
        <v>0</v>
      </c>
      <c r="T87" s="103">
        <f>('Thurs (2)'!T87+Thurs!T87+'Tues '!T87+Wed!T87+Fri!T87+'Mon '!T87+'Wed (2)'!T87+Sun!T87+Sat!T87)</f>
        <v>0</v>
      </c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106</v>
      </c>
      <c r="D88" s="159"/>
      <c r="E88" s="125" t="s">
        <v>64</v>
      </c>
      <c r="F88" s="125" t="s">
        <v>108</v>
      </c>
      <c r="G88" s="103">
        <f>('Thurs (2)'!G88+Thurs!G88+'Tues '!G88+Wed!G88+Fri!G88+'Mon '!G88+'Wed (2)'!G88+Sun!G88+Sat!G88)</f>
        <v>0</v>
      </c>
      <c r="H88" s="103">
        <f>('Thurs (2)'!H88+Thurs!H88+'Tues '!H88+Wed!H88+Fri!H88+'Mon '!H88+'Wed (2)'!H88+Sun!H88+Sat!H88)</f>
        <v>0</v>
      </c>
      <c r="I88" s="103">
        <f>('Thurs (2)'!I88+Thurs!I88+'Tues '!I88+Wed!I88+Fri!I88+'Mon '!I88+'Wed (2)'!I88+Sun!I88+Sat!I88)</f>
        <v>0</v>
      </c>
      <c r="J88" s="103">
        <f>('Thurs (2)'!J88+Thurs!J88+'Tues '!J88+Wed!J88+Fri!J88+'Mon '!J88+'Wed (2)'!J88+Sun!J88+Sat!J88)</f>
        <v>0</v>
      </c>
      <c r="K88" s="103">
        <f>('Thurs (2)'!K88+Thurs!K88+'Tues '!K88+Wed!K88+Fri!K88+'Mon '!K88+'Wed (2)'!K88+Sun!K88+Sat!K88)</f>
        <v>0</v>
      </c>
      <c r="L88" s="103">
        <f>('Thurs (2)'!L88+Thurs!L88+'Tues '!L88+Wed!L88+Fri!L88+'Mon '!L88+'Wed (2)'!L88+Sun!L88+Sat!L88)</f>
        <v>0</v>
      </c>
      <c r="M88" s="103">
        <f>('Thurs (2)'!M88+Thurs!M88+'Tues '!M88+Wed!M88+Fri!M88+'Mon '!M88+'Wed (2)'!M88+Sun!M88+Sat!M88)</f>
        <v>0</v>
      </c>
      <c r="N88" s="103">
        <f>('Thurs (2)'!N88+Thurs!N88+'Tues '!N88+Wed!N88+Fri!N88+'Mon '!N88+'Wed (2)'!N88+Sun!N88+Sat!N88)</f>
        <v>0</v>
      </c>
      <c r="O88" s="103">
        <f>('Thurs (2)'!O88+Thurs!O88+'Tues '!O88+Wed!O88+Fri!O88+'Mon '!O88+'Wed (2)'!O88+Sun!O88+Sat!O88)</f>
        <v>0</v>
      </c>
      <c r="P88" s="103">
        <f>('Thurs (2)'!P88+Thurs!P88+'Tues '!P88+Wed!P88+Fri!P88+'Mon '!P88+'Wed (2)'!P88+Sun!P88+Sat!P88)</f>
        <v>0</v>
      </c>
      <c r="Q88" s="103">
        <f>('Thurs (2)'!Q88+Thurs!Q88+'Tues '!Q88+Wed!Q88+Fri!Q88+'Mon '!Q88+'Wed (2)'!Q88+Sun!Q88+Sat!Q88)</f>
        <v>0</v>
      </c>
      <c r="R88" s="103">
        <f>('Thurs (2)'!R88+Thurs!R88+'Tues '!R88+Wed!R88+Fri!R88+'Mon '!R88+'Wed (2)'!R88+Sun!R88+Sat!R88)</f>
        <v>0</v>
      </c>
      <c r="S88" s="103">
        <f>('Thurs (2)'!S88+Thurs!S88+'Tues '!S88+Wed!S88+Fri!S88+'Mon '!S88+'Wed (2)'!S88+Sun!S88+Sat!S88)</f>
        <v>0</v>
      </c>
      <c r="T88" s="103">
        <f>('Thurs (2)'!T88+Thurs!T88+'Tues '!T88+Wed!T88+Fri!T88+'Mon '!T88+'Wed (2)'!T88+Sun!T88+Sat!T88)</f>
        <v>0</v>
      </c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>
        <f>('Thurs (2)'!G90+Thurs!G90+'Tues '!G90+Wed!G90+Fri!G90+'Mon '!G90+'Wed (2)'!G90+Sun!G90+Sat!G90)</f>
        <v>0</v>
      </c>
      <c r="H90" s="103">
        <f>('Thurs (2)'!H90+Thurs!H90+'Tues '!H90+Wed!H90+Fri!H90+'Mon '!H90+'Wed (2)'!H90+Sun!H90+Sat!H90)</f>
        <v>0</v>
      </c>
      <c r="I90" s="103">
        <f>('Thurs (2)'!I90+Thurs!I90+'Tues '!I90+Wed!I90+Fri!I90+'Mon '!I90+'Wed (2)'!I90+Sun!I90+Sat!I90)</f>
        <v>0</v>
      </c>
      <c r="J90" s="103">
        <f>('Thurs (2)'!J90+Thurs!J90+'Tues '!J90+Wed!J90+Fri!J90+'Mon '!J90+'Wed (2)'!J90+Sun!J90+Sat!J90)</f>
        <v>0</v>
      </c>
      <c r="K90" s="103">
        <f>('Thurs (2)'!K90+Thurs!K90+'Tues '!K90+Wed!K90+Fri!K90+'Mon '!K90+'Wed (2)'!K90+Sun!K90+Sat!K90)</f>
        <v>0</v>
      </c>
      <c r="L90" s="103">
        <f>('Thurs (2)'!L90+Thurs!L90+'Tues '!L90+Wed!L90+Fri!L90+'Mon '!L90+'Wed (2)'!L90+Sun!L90+Sat!L90)</f>
        <v>0</v>
      </c>
      <c r="M90" s="103">
        <f>('Thurs (2)'!M90+Thurs!M90+'Tues '!M90+Wed!M90+Fri!M90+'Mon '!M90+'Wed (2)'!M90+Sun!M90+Sat!M90)</f>
        <v>0</v>
      </c>
      <c r="N90" s="103">
        <f>('Thurs (2)'!N90+Thurs!N90+'Tues '!N90+Wed!N90+Fri!N90+'Mon '!N90+'Wed (2)'!N90+Sun!N90+Sat!N90)</f>
        <v>0</v>
      </c>
      <c r="O90" s="103">
        <f>('Thurs (2)'!O90+Thurs!O90+'Tues '!O90+Wed!O90+Fri!O90+'Mon '!O90+'Wed (2)'!O90+Sun!O90+Sat!O90)</f>
        <v>0</v>
      </c>
      <c r="P90" s="103">
        <f>('Thurs (2)'!P90+Thurs!P90+'Tues '!P90+Wed!P90+Fri!P90+'Mon '!P90+'Wed (2)'!P90+Sun!P90+Sat!P90)</f>
        <v>0</v>
      </c>
      <c r="Q90" s="103">
        <f>('Thurs (2)'!Q90+Thurs!Q90+'Tues '!Q90+Wed!Q90+Fri!Q90+'Mon '!Q90+'Wed (2)'!Q90+Sun!Q90+Sat!Q90)</f>
        <v>0</v>
      </c>
      <c r="R90" s="103">
        <f>('Thurs (2)'!R90+Thurs!R90+'Tues '!R90+Wed!R90+Fri!R90+'Mon '!R90+'Wed (2)'!R90+Sun!R90+Sat!R90)</f>
        <v>0</v>
      </c>
      <c r="S90" s="103">
        <f>('Thurs (2)'!S90+Thurs!S90+'Tues '!S90+Wed!S90+Fri!S90+'Mon '!S90+'Wed (2)'!S90+Sun!S90+Sat!S90)</f>
        <v>0</v>
      </c>
      <c r="T90" s="103">
        <f>('Thurs (2)'!T90+Thurs!T90+'Tues '!T90+Wed!T90+Fri!T90+'Mon '!T90+'Wed (2)'!T90+Sun!T90+Sat!T90)</f>
        <v>0</v>
      </c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109</v>
      </c>
      <c r="G91" s="103">
        <f>('Thurs (2)'!G91+Thurs!G91+'Tues '!G91+Wed!G91+Fri!G91+'Mon '!G91+'Wed (2)'!G91+Sun!G91+Sat!G91)</f>
        <v>24</v>
      </c>
      <c r="H91" s="103">
        <f>('Thurs (2)'!H91+Thurs!H91+'Tues '!H91+Wed!H91+Fri!H91+'Mon '!H91+'Wed (2)'!H91+Sun!H91+Sat!H91)</f>
        <v>24</v>
      </c>
      <c r="I91" s="103">
        <f>('Thurs (2)'!I91+Thurs!I91+'Tues '!I91+Wed!I91+Fri!I91+'Mon '!I91+'Wed (2)'!I91+Sun!I91+Sat!I91)</f>
        <v>11</v>
      </c>
      <c r="J91" s="103">
        <f>('Thurs (2)'!J91+Thurs!J91+'Tues '!J91+Wed!J91+Fri!J91+'Mon '!J91+'Wed (2)'!J91+Sun!J91+Sat!J91)</f>
        <v>0</v>
      </c>
      <c r="K91" s="103">
        <f>('Thurs (2)'!K91+Thurs!K91+'Tues '!K91+Wed!K91+Fri!K91+'Mon '!K91+'Wed (2)'!K91+Sun!K91+Sat!K91)</f>
        <v>0</v>
      </c>
      <c r="L91" s="103">
        <f>('Thurs (2)'!L91+Thurs!L91+'Tues '!L91+Wed!L91+Fri!L91+'Mon '!L91+'Wed (2)'!L91+Sun!L91+Sat!L91)</f>
        <v>0</v>
      </c>
      <c r="M91" s="103">
        <f>('Thurs (2)'!M91+Thurs!M91+'Tues '!M91+Wed!M91+Fri!M91+'Mon '!M91+'Wed (2)'!M91+Sun!M91+Sat!M91)</f>
        <v>87</v>
      </c>
      <c r="N91" s="103">
        <f>('Thurs (2)'!N91+Thurs!N91+'Tues '!N91+Wed!N91+Fri!N91+'Mon '!N91+'Wed (2)'!N91+Sun!N91+Sat!N91)</f>
        <v>21</v>
      </c>
      <c r="O91" s="103">
        <f>('Thurs (2)'!O91+Thurs!O91+'Tues '!O91+Wed!O91+Fri!O91+'Mon '!O91+'Wed (2)'!O91+Sun!O91+Sat!O91)</f>
        <v>8</v>
      </c>
      <c r="P91" s="103">
        <f>('Thurs (2)'!P91+Thurs!P91+'Tues '!P91+Wed!P91+Fri!P91+'Mon '!P91+'Wed (2)'!P91+Sun!P91+Sat!P91)</f>
        <v>0</v>
      </c>
      <c r="Q91" s="103">
        <f>('Thurs (2)'!Q91+Thurs!Q91+'Tues '!Q91+Wed!Q91+Fri!Q91+'Mon '!Q91+'Wed (2)'!Q91+Sun!Q91+Sat!Q91)</f>
        <v>0</v>
      </c>
      <c r="R91" s="103">
        <f>('Thurs (2)'!R91+Thurs!R91+'Tues '!R91+Wed!R91+Fri!R91+'Mon '!R91+'Wed (2)'!R91+Sun!R91+Sat!R91)</f>
        <v>0</v>
      </c>
      <c r="S91" s="103">
        <f>('Thurs (2)'!S91+Thurs!S91+'Tues '!S91+Wed!S91+Fri!S91+'Mon '!S91+'Wed (2)'!S91+Sun!S91+Sat!S91)</f>
        <v>0</v>
      </c>
      <c r="T91" s="103">
        <f>('Thurs (2)'!T91+Thurs!T91+'Tues '!T91+Wed!T91+Fri!T91+'Mon '!T91+'Wed (2)'!T91+Sun!T91+Sat!T91)</f>
        <v>12444</v>
      </c>
      <c r="U91" s="104">
        <f t="shared" si="10"/>
        <v>0.4583333333</v>
      </c>
      <c r="V91" s="104">
        <f t="shared" si="11"/>
        <v>1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110</v>
      </c>
      <c r="G92" s="103">
        <f>('Thurs (2)'!G92+Thurs!G92+'Tues '!G92+Wed!G92+Fri!G92+'Mon '!G92+'Wed (2)'!G92+Sun!G92+Sat!G92)</f>
        <v>0</v>
      </c>
      <c r="H92" s="103">
        <f>('Thurs (2)'!H92+Thurs!H92+'Tues '!H92+Wed!H92+Fri!H92+'Mon '!H92+'Wed (2)'!H92+Sun!H92+Sat!H92)</f>
        <v>0</v>
      </c>
      <c r="I92" s="103">
        <f>('Thurs (2)'!I92+Thurs!I92+'Tues '!I92+Wed!I92+Fri!I92+'Mon '!I92+'Wed (2)'!I92+Sun!I92+Sat!I92)</f>
        <v>0</v>
      </c>
      <c r="J92" s="103">
        <f>('Thurs (2)'!J92+Thurs!J92+'Tues '!J92+Wed!J92+Fri!J92+'Mon '!J92+'Wed (2)'!J92+Sun!J92+Sat!J92)</f>
        <v>0</v>
      </c>
      <c r="K92" s="103">
        <f>('Thurs (2)'!K92+Thurs!K92+'Tues '!K92+Wed!K92+Fri!K92+'Mon '!K92+'Wed (2)'!K92+Sun!K92+Sat!K92)</f>
        <v>0</v>
      </c>
      <c r="L92" s="103">
        <f>('Thurs (2)'!L92+Thurs!L92+'Tues '!L92+Wed!L92+Fri!L92+'Mon '!L92+'Wed (2)'!L92+Sun!L92+Sat!L92)</f>
        <v>0</v>
      </c>
      <c r="M92" s="103">
        <f>('Thurs (2)'!M92+Thurs!M92+'Tues '!M92+Wed!M92+Fri!M92+'Mon '!M92+'Wed (2)'!M92+Sun!M92+Sat!M92)</f>
        <v>0</v>
      </c>
      <c r="N92" s="103">
        <f>('Thurs (2)'!N92+Thurs!N92+'Tues '!N92+Wed!N92+Fri!N92+'Mon '!N92+'Wed (2)'!N92+Sun!N92+Sat!N92)</f>
        <v>0</v>
      </c>
      <c r="O92" s="103">
        <f>('Thurs (2)'!O92+Thurs!O92+'Tues '!O92+Wed!O92+Fri!O92+'Mon '!O92+'Wed (2)'!O92+Sun!O92+Sat!O92)</f>
        <v>0</v>
      </c>
      <c r="P92" s="103">
        <f>('Thurs (2)'!P92+Thurs!P92+'Tues '!P92+Wed!P92+Fri!P92+'Mon '!P92+'Wed (2)'!P92+Sun!P92+Sat!P92)</f>
        <v>0</v>
      </c>
      <c r="Q92" s="103">
        <f>('Thurs (2)'!Q92+Thurs!Q92+'Tues '!Q92+Wed!Q92+Fri!Q92+'Mon '!Q92+'Wed (2)'!Q92+Sun!Q92+Sat!Q92)</f>
        <v>0</v>
      </c>
      <c r="R92" s="103">
        <f>('Thurs (2)'!R92+Thurs!R92+'Tues '!R92+Wed!R92+Fri!R92+'Mon '!R92+'Wed (2)'!R92+Sun!R92+Sat!R92)</f>
        <v>0</v>
      </c>
      <c r="S92" s="103">
        <f>('Thurs (2)'!S92+Thurs!S92+'Tues '!S92+Wed!S92+Fri!S92+'Mon '!S92+'Wed (2)'!S92+Sun!S92+Sat!S92)</f>
        <v>0</v>
      </c>
      <c r="T92" s="103">
        <f>('Thurs (2)'!T92+Thurs!T92+'Tues '!T92+Wed!T92+Fri!T92+'Mon '!T92+'Wed (2)'!T92+Sun!T92+Sat!T92)</f>
        <v>0</v>
      </c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111</v>
      </c>
      <c r="G93" s="103">
        <f>('Thurs (2)'!G93+Thurs!G93+'Tues '!G93+Wed!G93+Fri!G93+'Mon '!G93+'Wed (2)'!G93+Sun!G93+Sat!G93)</f>
        <v>0</v>
      </c>
      <c r="H93" s="103">
        <f>('Thurs (2)'!H93+Thurs!H93+'Tues '!H93+Wed!H93+Fri!H93+'Mon '!H93+'Wed (2)'!H93+Sun!H93+Sat!H93)</f>
        <v>0</v>
      </c>
      <c r="I93" s="103">
        <f>('Thurs (2)'!I93+Thurs!I93+'Tues '!I93+Wed!I93+Fri!I93+'Mon '!I93+'Wed (2)'!I93+Sun!I93+Sat!I93)</f>
        <v>0</v>
      </c>
      <c r="J93" s="103">
        <f>('Thurs (2)'!J93+Thurs!J93+'Tues '!J93+Wed!J93+Fri!J93+'Mon '!J93+'Wed (2)'!J93+Sun!J93+Sat!J93)</f>
        <v>0</v>
      </c>
      <c r="K93" s="103">
        <f>('Thurs (2)'!K93+Thurs!K93+'Tues '!K93+Wed!K93+Fri!K93+'Mon '!K93+'Wed (2)'!K93+Sun!K93+Sat!K93)</f>
        <v>0</v>
      </c>
      <c r="L93" s="103">
        <f>('Thurs (2)'!L93+Thurs!L93+'Tues '!L93+Wed!L93+Fri!L93+'Mon '!L93+'Wed (2)'!L93+Sun!L93+Sat!L93)</f>
        <v>0</v>
      </c>
      <c r="M93" s="103">
        <f>('Thurs (2)'!M93+Thurs!M93+'Tues '!M93+Wed!M93+Fri!M93+'Mon '!M93+'Wed (2)'!M93+Sun!M93+Sat!M93)</f>
        <v>0</v>
      </c>
      <c r="N93" s="103">
        <f>('Thurs (2)'!N93+Thurs!N93+'Tues '!N93+Wed!N93+Fri!N93+'Mon '!N93+'Wed (2)'!N93+Sun!N93+Sat!N93)</f>
        <v>0</v>
      </c>
      <c r="O93" s="103">
        <f>('Thurs (2)'!O93+Thurs!O93+'Tues '!O93+Wed!O93+Fri!O93+'Mon '!O93+'Wed (2)'!O93+Sun!O93+Sat!O93)</f>
        <v>0</v>
      </c>
      <c r="P93" s="103">
        <f>('Thurs (2)'!P93+Thurs!P93+'Tues '!P93+Wed!P93+Fri!P93+'Mon '!P93+'Wed (2)'!P93+Sun!P93+Sat!P93)</f>
        <v>0</v>
      </c>
      <c r="Q93" s="103">
        <f>('Thurs (2)'!Q93+Thurs!Q93+'Tues '!Q93+Wed!Q93+Fri!Q93+'Mon '!Q93+'Wed (2)'!Q93+Sun!Q93+Sat!Q93)</f>
        <v>0</v>
      </c>
      <c r="R93" s="103">
        <f>('Thurs (2)'!R93+Thurs!R93+'Tues '!R93+Wed!R93+Fri!R93+'Mon '!R93+'Wed (2)'!R93+Sun!R93+Sat!R93)</f>
        <v>0</v>
      </c>
      <c r="S93" s="103">
        <f>('Thurs (2)'!S93+Thurs!S93+'Tues '!S93+Wed!S93+Fri!S93+'Mon '!S93+'Wed (2)'!S93+Sun!S93+Sat!S93)</f>
        <v>0</v>
      </c>
      <c r="T93" s="103">
        <f>('Thurs (2)'!T93+Thurs!T93+'Tues '!T93+Wed!T93+Fri!T93+'Mon '!T93+'Wed (2)'!T93+Sun!T93+Sat!T93)</f>
        <v>0</v>
      </c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112</v>
      </c>
      <c r="F94" s="162" t="s">
        <v>113</v>
      </c>
      <c r="G94" s="103">
        <f>('Thurs (2)'!G94+Thurs!G94+'Tues '!G94+Wed!G94+Fri!G94+'Mon '!G94+'Wed (2)'!G94+Sun!G94+Sat!G94)</f>
        <v>0</v>
      </c>
      <c r="H94" s="103">
        <f>('Thurs (2)'!H94+Thurs!H94+'Tues '!H94+Wed!H94+Fri!H94+'Mon '!H94+'Wed (2)'!H94+Sun!H94+Sat!H94)</f>
        <v>0</v>
      </c>
      <c r="I94" s="103">
        <f>('Thurs (2)'!I94+Thurs!I94+'Tues '!I94+Wed!I94+Fri!I94+'Mon '!I94+'Wed (2)'!I94+Sun!I94+Sat!I94)</f>
        <v>0</v>
      </c>
      <c r="J94" s="103">
        <f>('Thurs (2)'!J94+Thurs!J94+'Tues '!J94+Wed!J94+Fri!J94+'Mon '!J94+'Wed (2)'!J94+Sun!J94+Sat!J94)</f>
        <v>0</v>
      </c>
      <c r="K94" s="103">
        <f>('Thurs (2)'!K94+Thurs!K94+'Tues '!K94+Wed!K94+Fri!K94+'Mon '!K94+'Wed (2)'!K94+Sun!K94+Sat!K94)</f>
        <v>0</v>
      </c>
      <c r="L94" s="103">
        <f>('Thurs (2)'!L94+Thurs!L94+'Tues '!L94+Wed!L94+Fri!L94+'Mon '!L94+'Wed (2)'!L94+Sun!L94+Sat!L94)</f>
        <v>0</v>
      </c>
      <c r="M94" s="103">
        <f>('Thurs (2)'!M94+Thurs!M94+'Tues '!M94+Wed!M94+Fri!M94+'Mon '!M94+'Wed (2)'!M94+Sun!M94+Sat!M94)</f>
        <v>0</v>
      </c>
      <c r="N94" s="103">
        <f>('Thurs (2)'!N94+Thurs!N94+'Tues '!N94+Wed!N94+Fri!N94+'Mon '!N94+'Wed (2)'!N94+Sun!N94+Sat!N94)</f>
        <v>0</v>
      </c>
      <c r="O94" s="103">
        <f>('Thurs (2)'!O94+Thurs!O94+'Tues '!O94+Wed!O94+Fri!O94+'Mon '!O94+'Wed (2)'!O94+Sun!O94+Sat!O94)</f>
        <v>0</v>
      </c>
      <c r="P94" s="103">
        <f>('Thurs (2)'!P94+Thurs!P94+'Tues '!P94+Wed!P94+Fri!P94+'Mon '!P94+'Wed (2)'!P94+Sun!P94+Sat!P94)</f>
        <v>0</v>
      </c>
      <c r="Q94" s="103">
        <f>('Thurs (2)'!Q94+Thurs!Q94+'Tues '!Q94+Wed!Q94+Fri!Q94+'Mon '!Q94+'Wed (2)'!Q94+Sun!Q94+Sat!Q94)</f>
        <v>0</v>
      </c>
      <c r="R94" s="103">
        <f>('Thurs (2)'!R94+Thurs!R94+'Tues '!R94+Wed!R94+Fri!R94+'Mon '!R94+'Wed (2)'!R94+Sun!R94+Sat!R94)</f>
        <v>0</v>
      </c>
      <c r="S94" s="103">
        <f>('Thurs (2)'!S94+Thurs!S94+'Tues '!S94+Wed!S94+Fri!S94+'Mon '!S94+'Wed (2)'!S94+Sun!S94+Sat!S94)</f>
        <v>0</v>
      </c>
      <c r="T94" s="103">
        <f>('Thurs (2)'!T94+Thurs!T94+'Tues '!T94+Wed!T94+Fri!T94+'Mon '!T94+'Wed (2)'!T94+Sun!T94+Sat!T94)</f>
        <v>0</v>
      </c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114</v>
      </c>
      <c r="G95" s="103">
        <f>('Thurs (2)'!G95+Thurs!G95+'Tues '!G95+Wed!G95+Fri!G95+'Mon '!G95+'Wed (2)'!G95+Sun!G95+Sat!G95)</f>
        <v>0</v>
      </c>
      <c r="H95" s="103">
        <f>('Thurs (2)'!H95+Thurs!H95+'Tues '!H95+Wed!H95+Fri!H95+'Mon '!H95+'Wed (2)'!H95+Sun!H95+Sat!H95)</f>
        <v>0</v>
      </c>
      <c r="I95" s="103">
        <f>('Thurs (2)'!I95+Thurs!I95+'Tues '!I95+Wed!I95+Fri!I95+'Mon '!I95+'Wed (2)'!I95+Sun!I95+Sat!I95)</f>
        <v>0</v>
      </c>
      <c r="J95" s="103">
        <f>('Thurs (2)'!J95+Thurs!J95+'Tues '!J95+Wed!J95+Fri!J95+'Mon '!J95+'Wed (2)'!J95+Sun!J95+Sat!J95)</f>
        <v>0</v>
      </c>
      <c r="K95" s="103">
        <f>('Thurs (2)'!K95+Thurs!K95+'Tues '!K95+Wed!K95+Fri!K95+'Mon '!K95+'Wed (2)'!K95+Sun!K95+Sat!K95)</f>
        <v>0</v>
      </c>
      <c r="L95" s="103">
        <f>('Thurs (2)'!L95+Thurs!L95+'Tues '!L95+Wed!L95+Fri!L95+'Mon '!L95+'Wed (2)'!L95+Sun!L95+Sat!L95)</f>
        <v>0</v>
      </c>
      <c r="M95" s="103">
        <f>('Thurs (2)'!M95+Thurs!M95+'Tues '!M95+Wed!M95+Fri!M95+'Mon '!M95+'Wed (2)'!M95+Sun!M95+Sat!M95)</f>
        <v>0</v>
      </c>
      <c r="N95" s="103">
        <f>('Thurs (2)'!N95+Thurs!N95+'Tues '!N95+Wed!N95+Fri!N95+'Mon '!N95+'Wed (2)'!N95+Sun!N95+Sat!N95)</f>
        <v>0</v>
      </c>
      <c r="O95" s="103">
        <f>('Thurs (2)'!O95+Thurs!O95+'Tues '!O95+Wed!O95+Fri!O95+'Mon '!O95+'Wed (2)'!O95+Sun!O95+Sat!O95)</f>
        <v>0</v>
      </c>
      <c r="P95" s="103">
        <f>('Thurs (2)'!P95+Thurs!P95+'Tues '!P95+Wed!P95+Fri!P95+'Mon '!P95+'Wed (2)'!P95+Sun!P95+Sat!P95)</f>
        <v>0</v>
      </c>
      <c r="Q95" s="103">
        <f>('Thurs (2)'!Q95+Thurs!Q95+'Tues '!Q95+Wed!Q95+Fri!Q95+'Mon '!Q95+'Wed (2)'!Q95+Sun!Q95+Sat!Q95)</f>
        <v>0</v>
      </c>
      <c r="R95" s="103">
        <f>('Thurs (2)'!R95+Thurs!R95+'Tues '!R95+Wed!R95+Fri!R95+'Mon '!R95+'Wed (2)'!R95+Sun!R95+Sat!R95)</f>
        <v>0</v>
      </c>
      <c r="S95" s="103">
        <f>('Thurs (2)'!S95+Thurs!S95+'Tues '!S95+Wed!S95+Fri!S95+'Mon '!S95+'Wed (2)'!S95+Sun!S95+Sat!S95)</f>
        <v>0</v>
      </c>
      <c r="T95" s="103">
        <f>('Thurs (2)'!T95+Thurs!T95+'Tues '!T95+Wed!T95+Fri!T95+'Mon '!T95+'Wed (2)'!T95+Sun!T95+Sat!T95)</f>
        <v>0</v>
      </c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115</v>
      </c>
      <c r="G96" s="103">
        <f>('Thurs (2)'!G96+Thurs!G96+'Tues '!G96+Wed!G96+Fri!G96+'Mon '!G96+'Wed (2)'!G96+Sun!G96+Sat!G96)</f>
        <v>0</v>
      </c>
      <c r="H96" s="103">
        <f>('Thurs (2)'!H96+Thurs!H96+'Tues '!H96+Wed!H96+Fri!H96+'Mon '!H96+'Wed (2)'!H96+Sun!H96+Sat!H96)</f>
        <v>0</v>
      </c>
      <c r="I96" s="103">
        <f>('Thurs (2)'!I96+Thurs!I96+'Tues '!I96+Wed!I96+Fri!I96+'Mon '!I96+'Wed (2)'!I96+Sun!I96+Sat!I96)</f>
        <v>0</v>
      </c>
      <c r="J96" s="103">
        <f>('Thurs (2)'!J96+Thurs!J96+'Tues '!J96+Wed!J96+Fri!J96+'Mon '!J96+'Wed (2)'!J96+Sun!J96+Sat!J96)</f>
        <v>0</v>
      </c>
      <c r="K96" s="103">
        <f>('Thurs (2)'!K96+Thurs!K96+'Tues '!K96+Wed!K96+Fri!K96+'Mon '!K96+'Wed (2)'!K96+Sun!K96+Sat!K96)</f>
        <v>0</v>
      </c>
      <c r="L96" s="103">
        <f>('Thurs (2)'!L96+Thurs!L96+'Tues '!L96+Wed!L96+Fri!L96+'Mon '!L96+'Wed (2)'!L96+Sun!L96+Sat!L96)</f>
        <v>0</v>
      </c>
      <c r="M96" s="103">
        <f>('Thurs (2)'!M96+Thurs!M96+'Tues '!M96+Wed!M96+Fri!M96+'Mon '!M96+'Wed (2)'!M96+Sun!M96+Sat!M96)</f>
        <v>0</v>
      </c>
      <c r="N96" s="103">
        <f>('Thurs (2)'!N96+Thurs!N96+'Tues '!N96+Wed!N96+Fri!N96+'Mon '!N96+'Wed (2)'!N96+Sun!N96+Sat!N96)</f>
        <v>0</v>
      </c>
      <c r="O96" s="103">
        <f>('Thurs (2)'!O96+Thurs!O96+'Tues '!O96+Wed!O96+Fri!O96+'Mon '!O96+'Wed (2)'!O96+Sun!O96+Sat!O96)</f>
        <v>0</v>
      </c>
      <c r="P96" s="103">
        <f>('Thurs (2)'!P96+Thurs!P96+'Tues '!P96+Wed!P96+Fri!P96+'Mon '!P96+'Wed (2)'!P96+Sun!P96+Sat!P96)</f>
        <v>0</v>
      </c>
      <c r="Q96" s="103">
        <f>('Thurs (2)'!Q96+Thurs!Q96+'Tues '!Q96+Wed!Q96+Fri!Q96+'Mon '!Q96+'Wed (2)'!Q96+Sun!Q96+Sat!Q96)</f>
        <v>0</v>
      </c>
      <c r="R96" s="103">
        <f>('Thurs (2)'!R96+Thurs!R96+'Tues '!R96+Wed!R96+Fri!R96+'Mon '!R96+'Wed (2)'!R96+Sun!R96+Sat!R96)</f>
        <v>0</v>
      </c>
      <c r="S96" s="103">
        <f>('Thurs (2)'!S96+Thurs!S96+'Tues '!S96+Wed!S96+Fri!S96+'Mon '!S96+'Wed (2)'!S96+Sun!S96+Sat!S96)</f>
        <v>0</v>
      </c>
      <c r="T96" s="103">
        <f>('Thurs (2)'!T96+Thurs!T96+'Tues '!T96+Wed!T96+Fri!T96+'Mon '!T96+'Wed (2)'!T96+Sun!T96+Sat!T96)</f>
        <v>0</v>
      </c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116</v>
      </c>
      <c r="G97" s="103">
        <f>('Thurs (2)'!G97+Thurs!G97+'Tues '!G97+Wed!G97+Fri!G97+'Mon '!G97+'Wed (2)'!G97+Sun!G97+Sat!G97)</f>
        <v>0</v>
      </c>
      <c r="H97" s="103">
        <f>('Thurs (2)'!H97+Thurs!H97+'Tues '!H97+Wed!H97+Fri!H97+'Mon '!H97+'Wed (2)'!H97+Sun!H97+Sat!H97)</f>
        <v>0</v>
      </c>
      <c r="I97" s="103">
        <f>('Thurs (2)'!I97+Thurs!I97+'Tues '!I97+Wed!I97+Fri!I97+'Mon '!I97+'Wed (2)'!I97+Sun!I97+Sat!I97)</f>
        <v>0</v>
      </c>
      <c r="J97" s="103">
        <f>('Thurs (2)'!J97+Thurs!J97+'Tues '!J97+Wed!J97+Fri!J97+'Mon '!J97+'Wed (2)'!J97+Sun!J97+Sat!J97)</f>
        <v>0</v>
      </c>
      <c r="K97" s="103">
        <f>('Thurs (2)'!K97+Thurs!K97+'Tues '!K97+Wed!K97+Fri!K97+'Mon '!K97+'Wed (2)'!K97+Sun!K97+Sat!K97)</f>
        <v>0</v>
      </c>
      <c r="L97" s="103">
        <f>('Thurs (2)'!L97+Thurs!L97+'Tues '!L97+Wed!L97+Fri!L97+'Mon '!L97+'Wed (2)'!L97+Sun!L97+Sat!L97)</f>
        <v>0</v>
      </c>
      <c r="M97" s="103">
        <f>('Thurs (2)'!M97+Thurs!M97+'Tues '!M97+Wed!M97+Fri!M97+'Mon '!M97+'Wed (2)'!M97+Sun!M97+Sat!M97)</f>
        <v>0</v>
      </c>
      <c r="N97" s="103">
        <f>('Thurs (2)'!N97+Thurs!N97+'Tues '!N97+Wed!N97+Fri!N97+'Mon '!N97+'Wed (2)'!N97+Sun!N97+Sat!N97)</f>
        <v>0</v>
      </c>
      <c r="O97" s="103">
        <f>('Thurs (2)'!O97+Thurs!O97+'Tues '!O97+Wed!O97+Fri!O97+'Mon '!O97+'Wed (2)'!O97+Sun!O97+Sat!O97)</f>
        <v>0</v>
      </c>
      <c r="P97" s="103">
        <f>('Thurs (2)'!P97+Thurs!P97+'Tues '!P97+Wed!P97+Fri!P97+'Mon '!P97+'Wed (2)'!P97+Sun!P97+Sat!P97)</f>
        <v>0</v>
      </c>
      <c r="Q97" s="103">
        <f>('Thurs (2)'!Q97+Thurs!Q97+'Tues '!Q97+Wed!Q97+Fri!Q97+'Mon '!Q97+'Wed (2)'!Q97+Sun!Q97+Sat!Q97)</f>
        <v>0</v>
      </c>
      <c r="R97" s="103">
        <f>('Thurs (2)'!R97+Thurs!R97+'Tues '!R97+Wed!R97+Fri!R97+'Mon '!R97+'Wed (2)'!R97+Sun!R97+Sat!R97)</f>
        <v>0</v>
      </c>
      <c r="S97" s="103">
        <f>('Thurs (2)'!S97+Thurs!S97+'Tues '!S97+Wed!S97+Fri!S97+'Mon '!S97+'Wed (2)'!S97+Sun!S97+Sat!S97)</f>
        <v>0</v>
      </c>
      <c r="T97" s="103">
        <f>('Thurs (2)'!T97+Thurs!T97+'Tues '!T97+Wed!T97+Fri!T97+'Mon '!T97+'Wed (2)'!T97+Sun!T97+Sat!T97)</f>
        <v>0</v>
      </c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117</v>
      </c>
      <c r="G98" s="103">
        <f>('Thurs (2)'!G98+Thurs!G98+'Tues '!G98+Wed!G98+Fri!G98+'Mon '!G98+'Wed (2)'!G98+Sun!G98+Sat!G98)</f>
        <v>0</v>
      </c>
      <c r="H98" s="103">
        <f>('Thurs (2)'!H98+Thurs!H98+'Tues '!H98+Wed!H98+Fri!H98+'Mon '!H98+'Wed (2)'!H98+Sun!H98+Sat!H98)</f>
        <v>0</v>
      </c>
      <c r="I98" s="103">
        <f>('Thurs (2)'!I98+Thurs!I98+'Tues '!I98+Wed!I98+Fri!I98+'Mon '!I98+'Wed (2)'!I98+Sun!I98+Sat!I98)</f>
        <v>0</v>
      </c>
      <c r="J98" s="103">
        <f>('Thurs (2)'!J98+Thurs!J98+'Tues '!J98+Wed!J98+Fri!J98+'Mon '!J98+'Wed (2)'!J98+Sun!J98+Sat!J98)</f>
        <v>0</v>
      </c>
      <c r="K98" s="103">
        <f>('Thurs (2)'!K98+Thurs!K98+'Tues '!K98+Wed!K98+Fri!K98+'Mon '!K98+'Wed (2)'!K98+Sun!K98+Sat!K98)</f>
        <v>0</v>
      </c>
      <c r="L98" s="103">
        <f>('Thurs (2)'!L98+Thurs!L98+'Tues '!L98+Wed!L98+Fri!L98+'Mon '!L98+'Wed (2)'!L98+Sun!L98+Sat!L98)</f>
        <v>0</v>
      </c>
      <c r="M98" s="103">
        <f>('Thurs (2)'!M98+Thurs!M98+'Tues '!M98+Wed!M98+Fri!M98+'Mon '!M98+'Wed (2)'!M98+Sun!M98+Sat!M98)</f>
        <v>0</v>
      </c>
      <c r="N98" s="103">
        <f>('Thurs (2)'!N98+Thurs!N98+'Tues '!N98+Wed!N98+Fri!N98+'Mon '!N98+'Wed (2)'!N98+Sun!N98+Sat!N98)</f>
        <v>0</v>
      </c>
      <c r="O98" s="103">
        <f>('Thurs (2)'!O98+Thurs!O98+'Tues '!O98+Wed!O98+Fri!O98+'Mon '!O98+'Wed (2)'!O98+Sun!O98+Sat!O98)</f>
        <v>0</v>
      </c>
      <c r="P98" s="103">
        <f>('Thurs (2)'!P98+Thurs!P98+'Tues '!P98+Wed!P98+Fri!P98+'Mon '!P98+'Wed (2)'!P98+Sun!P98+Sat!P98)</f>
        <v>0</v>
      </c>
      <c r="Q98" s="103">
        <f>('Thurs (2)'!Q98+Thurs!Q98+'Tues '!Q98+Wed!Q98+Fri!Q98+'Mon '!Q98+'Wed (2)'!Q98+Sun!Q98+Sat!Q98)</f>
        <v>0</v>
      </c>
      <c r="R98" s="103">
        <f>('Thurs (2)'!R98+Thurs!R98+'Tues '!R98+Wed!R98+Fri!R98+'Mon '!R98+'Wed (2)'!R98+Sun!R98+Sat!R98)</f>
        <v>0</v>
      </c>
      <c r="S98" s="103">
        <f>('Thurs (2)'!S98+Thurs!S98+'Tues '!S98+Wed!S98+Fri!S98+'Mon '!S98+'Wed (2)'!S98+Sun!S98+Sat!S98)</f>
        <v>0</v>
      </c>
      <c r="T98" s="103">
        <f>('Thurs (2)'!T98+Thurs!T98+'Tues '!T98+Wed!T98+Fri!T98+'Mon '!T98+'Wed (2)'!T98+Sun!T98+Sat!T98)</f>
        <v>0</v>
      </c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118</v>
      </c>
      <c r="G99" s="103">
        <f>('Thurs (2)'!G99+Thurs!G99+'Tues '!G99+Wed!G99+Fri!G99+'Mon '!G99+'Wed (2)'!G99+Sun!G99+Sat!G99)</f>
        <v>0</v>
      </c>
      <c r="H99" s="103">
        <f>('Thurs (2)'!H99+Thurs!H99+'Tues '!H99+Wed!H99+Fri!H99+'Mon '!H99+'Wed (2)'!H99+Sun!H99+Sat!H99)</f>
        <v>0</v>
      </c>
      <c r="I99" s="103">
        <f>('Thurs (2)'!I99+Thurs!I99+'Tues '!I99+Wed!I99+Fri!I99+'Mon '!I99+'Wed (2)'!I99+Sun!I99+Sat!I99)</f>
        <v>0</v>
      </c>
      <c r="J99" s="103">
        <f>('Thurs (2)'!J99+Thurs!J99+'Tues '!J99+Wed!J99+Fri!J99+'Mon '!J99+'Wed (2)'!J99+Sun!J99+Sat!J99)</f>
        <v>0</v>
      </c>
      <c r="K99" s="103">
        <f>('Thurs (2)'!K99+Thurs!K99+'Tues '!K99+Wed!K99+Fri!K99+'Mon '!K99+'Wed (2)'!K99+Sun!K99+Sat!K99)</f>
        <v>0</v>
      </c>
      <c r="L99" s="103">
        <f>('Thurs (2)'!L99+Thurs!L99+'Tues '!L99+Wed!L99+Fri!L99+'Mon '!L99+'Wed (2)'!L99+Sun!L99+Sat!L99)</f>
        <v>0</v>
      </c>
      <c r="M99" s="103">
        <f>('Thurs (2)'!M99+Thurs!M99+'Tues '!M99+Wed!M99+Fri!M99+'Mon '!M99+'Wed (2)'!M99+Sun!M99+Sat!M99)</f>
        <v>0</v>
      </c>
      <c r="N99" s="103">
        <f>('Thurs (2)'!N99+Thurs!N99+'Tues '!N99+Wed!N99+Fri!N99+'Mon '!N99+'Wed (2)'!N99+Sun!N99+Sat!N99)</f>
        <v>0</v>
      </c>
      <c r="O99" s="103">
        <f>('Thurs (2)'!O99+Thurs!O99+'Tues '!O99+Wed!O99+Fri!O99+'Mon '!O99+'Wed (2)'!O99+Sun!O99+Sat!O99)</f>
        <v>0</v>
      </c>
      <c r="P99" s="103">
        <f>('Thurs (2)'!P99+Thurs!P99+'Tues '!P99+Wed!P99+Fri!P99+'Mon '!P99+'Wed (2)'!P99+Sun!P99+Sat!P99)</f>
        <v>0</v>
      </c>
      <c r="Q99" s="103">
        <f>('Thurs (2)'!Q99+Thurs!Q99+'Tues '!Q99+Wed!Q99+Fri!Q99+'Mon '!Q99+'Wed (2)'!Q99+Sun!Q99+Sat!Q99)</f>
        <v>0</v>
      </c>
      <c r="R99" s="103">
        <f>('Thurs (2)'!R99+Thurs!R99+'Tues '!R99+Wed!R99+Fri!R99+'Mon '!R99+'Wed (2)'!R99+Sun!R99+Sat!R99)</f>
        <v>0</v>
      </c>
      <c r="S99" s="103">
        <f>('Thurs (2)'!S99+Thurs!S99+'Tues '!S99+Wed!S99+Fri!S99+'Mon '!S99+'Wed (2)'!S99+Sun!S99+Sat!S99)</f>
        <v>0</v>
      </c>
      <c r="T99" s="103">
        <f>('Thurs (2)'!T99+Thurs!T99+'Tues '!T99+Wed!T99+Fri!T99+'Mon '!T99+'Wed (2)'!T99+Sun!T99+Sat!T99)</f>
        <v>0</v>
      </c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119</v>
      </c>
      <c r="G100" s="103">
        <f>('Thurs (2)'!G100+Thurs!G100+'Tues '!G100+Wed!G100+Fri!G100+'Mon '!G100+'Wed (2)'!G100+Sun!G100+Sat!G100)</f>
        <v>0</v>
      </c>
      <c r="H100" s="103">
        <f>('Thurs (2)'!H100+Thurs!H100+'Tues '!H100+Wed!H100+Fri!H100+'Mon '!H100+'Wed (2)'!H100+Sun!H100+Sat!H100)</f>
        <v>0</v>
      </c>
      <c r="I100" s="103">
        <f>('Thurs (2)'!I100+Thurs!I100+'Tues '!I100+Wed!I100+Fri!I100+'Mon '!I100+'Wed (2)'!I100+Sun!I100+Sat!I100)</f>
        <v>0</v>
      </c>
      <c r="J100" s="103">
        <f>('Thurs (2)'!J100+Thurs!J100+'Tues '!J100+Wed!J100+Fri!J100+'Mon '!J100+'Wed (2)'!J100+Sun!J100+Sat!J100)</f>
        <v>0</v>
      </c>
      <c r="K100" s="103">
        <f>('Thurs (2)'!K100+Thurs!K100+'Tues '!K100+Wed!K100+Fri!K100+'Mon '!K100+'Wed (2)'!K100+Sun!K100+Sat!K100)</f>
        <v>0</v>
      </c>
      <c r="L100" s="103">
        <f>('Thurs (2)'!L100+Thurs!L100+'Tues '!L100+Wed!L100+Fri!L100+'Mon '!L100+'Wed (2)'!L100+Sun!L100+Sat!L100)</f>
        <v>0</v>
      </c>
      <c r="M100" s="103">
        <f>('Thurs (2)'!M100+Thurs!M100+'Tues '!M100+Wed!M100+Fri!M100+'Mon '!M100+'Wed (2)'!M100+Sun!M100+Sat!M100)</f>
        <v>0</v>
      </c>
      <c r="N100" s="103">
        <f>('Thurs (2)'!N100+Thurs!N100+'Tues '!N100+Wed!N100+Fri!N100+'Mon '!N100+'Wed (2)'!N100+Sun!N100+Sat!N100)</f>
        <v>0</v>
      </c>
      <c r="O100" s="103">
        <f>('Thurs (2)'!O100+Thurs!O100+'Tues '!O100+Wed!O100+Fri!O100+'Mon '!O100+'Wed (2)'!O100+Sun!O100+Sat!O100)</f>
        <v>0</v>
      </c>
      <c r="P100" s="103">
        <f>('Thurs (2)'!P100+Thurs!P100+'Tues '!P100+Wed!P100+Fri!P100+'Mon '!P100+'Wed (2)'!P100+Sun!P100+Sat!P100)</f>
        <v>0</v>
      </c>
      <c r="Q100" s="103">
        <f>('Thurs (2)'!Q100+Thurs!Q100+'Tues '!Q100+Wed!Q100+Fri!Q100+'Mon '!Q100+'Wed (2)'!Q100+Sun!Q100+Sat!Q100)</f>
        <v>0</v>
      </c>
      <c r="R100" s="103">
        <f>('Thurs (2)'!R100+Thurs!R100+'Tues '!R100+Wed!R100+Fri!R100+'Mon '!R100+'Wed (2)'!R100+Sun!R100+Sat!R100)</f>
        <v>0</v>
      </c>
      <c r="S100" s="103">
        <f>('Thurs (2)'!S100+Thurs!S100+'Tues '!S100+Wed!S100+Fri!S100+'Mon '!S100+'Wed (2)'!S100+Sun!S100+Sat!S100)</f>
        <v>0</v>
      </c>
      <c r="T100" s="103">
        <f>('Thurs (2)'!T100+Thurs!T100+'Tues '!T100+Wed!T100+Fri!T100+'Mon '!T100+'Wed (2)'!T100+Sun!T100+Sat!T100)</f>
        <v>0</v>
      </c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120</v>
      </c>
      <c r="D101" s="167" t="s">
        <v>52</v>
      </c>
      <c r="E101" s="165" t="s">
        <v>107</v>
      </c>
      <c r="F101" s="165" t="s">
        <v>120</v>
      </c>
      <c r="G101" s="103">
        <f>('Thurs (2)'!G101+Thurs!G101+'Tues '!G101+Wed!G101+Fri!G101+'Mon '!G101+'Wed (2)'!G101+Sun!G101+Sat!G101)</f>
        <v>17</v>
      </c>
      <c r="H101" s="103">
        <f>('Thurs (2)'!H101+Thurs!H101+'Tues '!H101+Wed!H101+Fri!H101+'Mon '!H101+'Wed (2)'!H101+Sun!H101+Sat!H101)</f>
        <v>4</v>
      </c>
      <c r="I101" s="103">
        <f>('Thurs (2)'!I101+Thurs!I101+'Tues '!I101+Wed!I101+Fri!I101+'Mon '!I101+'Wed (2)'!I101+Sun!I101+Sat!I101)</f>
        <v>0</v>
      </c>
      <c r="J101" s="103">
        <f>('Thurs (2)'!J101+Thurs!J101+'Tues '!J101+Wed!J101+Fri!J101+'Mon '!J101+'Wed (2)'!J101+Sun!J101+Sat!J101)</f>
        <v>0</v>
      </c>
      <c r="K101" s="103">
        <f>('Thurs (2)'!K101+Thurs!K101+'Tues '!K101+Wed!K101+Fri!K101+'Mon '!K101+'Wed (2)'!K101+Sun!K101+Sat!K101)</f>
        <v>0</v>
      </c>
      <c r="L101" s="103">
        <f>('Thurs (2)'!L101+Thurs!L101+'Tues '!L101+Wed!L101+Fri!L101+'Mon '!L101+'Wed (2)'!L101+Sun!L101+Sat!L101)</f>
        <v>0</v>
      </c>
      <c r="M101" s="103">
        <f>('Thurs (2)'!M101+Thurs!M101+'Tues '!M101+Wed!M101+Fri!M101+'Mon '!M101+'Wed (2)'!M101+Sun!M101+Sat!M101)</f>
        <v>3</v>
      </c>
      <c r="N101" s="103">
        <f>('Thurs (2)'!N101+Thurs!N101+'Tues '!N101+Wed!N101+Fri!N101+'Mon '!N101+'Wed (2)'!N101+Sun!N101+Sat!N101)</f>
        <v>2</v>
      </c>
      <c r="O101" s="103">
        <f>('Thurs (2)'!O101+Thurs!O101+'Tues '!O101+Wed!O101+Fri!O101+'Mon '!O101+'Wed (2)'!O101+Sun!O101+Sat!O101)</f>
        <v>0</v>
      </c>
      <c r="P101" s="103">
        <f>('Thurs (2)'!P101+Thurs!P101+'Tues '!P101+Wed!P101+Fri!P101+'Mon '!P101+'Wed (2)'!P101+Sun!P101+Sat!P101)</f>
        <v>0</v>
      </c>
      <c r="Q101" s="103">
        <f>('Thurs (2)'!Q101+Thurs!Q101+'Tues '!Q101+Wed!Q101+Fri!Q101+'Mon '!Q101+'Wed (2)'!Q101+Sun!Q101+Sat!Q101)</f>
        <v>0</v>
      </c>
      <c r="R101" s="103">
        <f>('Thurs (2)'!R101+Thurs!R101+'Tues '!R101+Wed!R101+Fri!R101+'Mon '!R101+'Wed (2)'!R101+Sun!R101+Sat!R101)</f>
        <v>0</v>
      </c>
      <c r="S101" s="103">
        <f>('Thurs (2)'!S101+Thurs!S101+'Tues '!S101+Wed!S101+Fri!S101+'Mon '!S101+'Wed (2)'!S101+Sun!S101+Sat!S101)</f>
        <v>0</v>
      </c>
      <c r="T101" s="103">
        <f>('Thurs (2)'!T101+Thurs!T101+'Tues '!T101+Wed!T101+Fri!T101+'Mon '!T101+'Wed (2)'!T101+Sun!T101+Sat!T101)</f>
        <v>0</v>
      </c>
      <c r="U101" s="104">
        <f t="shared" si="10"/>
        <v>0</v>
      </c>
      <c r="V101" s="104">
        <f t="shared" si="11"/>
        <v>0.2352941176</v>
      </c>
      <c r="W101" s="105"/>
    </row>
    <row r="102" ht="13.5" customHeight="1">
      <c r="A102" s="168" t="s">
        <v>34</v>
      </c>
      <c r="B102" s="169"/>
      <c r="C102" s="168" t="s">
        <v>120</v>
      </c>
      <c r="D102" s="169"/>
      <c r="E102" s="168" t="s">
        <v>121</v>
      </c>
      <c r="F102" s="168" t="s">
        <v>122</v>
      </c>
      <c r="G102" s="103">
        <f>('Thurs (2)'!G102+Thurs!G102+'Tues '!G102+Wed!G102+Fri!G102+'Mon '!G102+'Wed (2)'!G102+Sun!G102+Sat!G102)</f>
        <v>3</v>
      </c>
      <c r="H102" s="103">
        <f>('Thurs (2)'!H102+Thurs!H102+'Tues '!H102+Wed!H102+Fri!H102+'Mon '!H102+'Wed (2)'!H102+Sun!H102+Sat!H102)</f>
        <v>0</v>
      </c>
      <c r="I102" s="103">
        <f>('Thurs (2)'!I102+Thurs!I102+'Tues '!I102+Wed!I102+Fri!I102+'Mon '!I102+'Wed (2)'!I102+Sun!I102+Sat!I102)</f>
        <v>0</v>
      </c>
      <c r="J102" s="103">
        <f>('Thurs (2)'!J102+Thurs!J102+'Tues '!J102+Wed!J102+Fri!J102+'Mon '!J102+'Wed (2)'!J102+Sun!J102+Sat!J102)</f>
        <v>0</v>
      </c>
      <c r="K102" s="103">
        <f>('Thurs (2)'!K102+Thurs!K102+'Tues '!K102+Wed!K102+Fri!K102+'Mon '!K102+'Wed (2)'!K102+Sun!K102+Sat!K102)</f>
        <v>0</v>
      </c>
      <c r="L102" s="103">
        <f>('Thurs (2)'!L102+Thurs!L102+'Tues '!L102+Wed!L102+Fri!L102+'Mon '!L102+'Wed (2)'!L102+Sun!L102+Sat!L102)</f>
        <v>0</v>
      </c>
      <c r="M102" s="103">
        <f>('Thurs (2)'!M102+Thurs!M102+'Tues '!M102+Wed!M102+Fri!M102+'Mon '!M102+'Wed (2)'!M102+Sun!M102+Sat!M102)</f>
        <v>0</v>
      </c>
      <c r="N102" s="103">
        <f>('Thurs (2)'!N102+Thurs!N102+'Tues '!N102+Wed!N102+Fri!N102+'Mon '!N102+'Wed (2)'!N102+Sun!N102+Sat!N102)</f>
        <v>0</v>
      </c>
      <c r="O102" s="103">
        <f>('Thurs (2)'!O102+Thurs!O102+'Tues '!O102+Wed!O102+Fri!O102+'Mon '!O102+'Wed (2)'!O102+Sun!O102+Sat!O102)</f>
        <v>0</v>
      </c>
      <c r="P102" s="103">
        <f>('Thurs (2)'!P102+Thurs!P102+'Tues '!P102+Wed!P102+Fri!P102+'Mon '!P102+'Wed (2)'!P102+Sun!P102+Sat!P102)</f>
        <v>0</v>
      </c>
      <c r="Q102" s="103">
        <f>('Thurs (2)'!Q102+Thurs!Q102+'Tues '!Q102+Wed!Q102+Fri!Q102+'Mon '!Q102+'Wed (2)'!Q102+Sun!Q102+Sat!Q102)</f>
        <v>0</v>
      </c>
      <c r="R102" s="103">
        <f>('Thurs (2)'!R102+Thurs!R102+'Tues '!R102+Wed!R102+Fri!R102+'Mon '!R102+'Wed (2)'!R102+Sun!R102+Sat!R102)</f>
        <v>0</v>
      </c>
      <c r="S102" s="103">
        <f>('Thurs (2)'!S102+Thurs!S102+'Tues '!S102+Wed!S102+Fri!S102+'Mon '!S102+'Wed (2)'!S102+Sun!S102+Sat!S102)</f>
        <v>0</v>
      </c>
      <c r="T102" s="103">
        <f>('Thurs (2)'!T102+Thurs!T102+'Tues '!T102+Wed!T102+Fri!T102+'Mon '!T102+'Wed (2)'!T102+Sun!T102+Sat!T102)</f>
        <v>0</v>
      </c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120</v>
      </c>
      <c r="D103" s="169"/>
      <c r="E103" s="168" t="s">
        <v>123</v>
      </c>
      <c r="F103" s="168" t="s">
        <v>124</v>
      </c>
      <c r="G103" s="103">
        <f>('Thurs (2)'!G103+Thurs!G103+'Tues '!G103+Wed!G103+Fri!G103+'Mon '!G103+'Wed (2)'!G103+Sun!G103+Sat!G103)</f>
        <v>0</v>
      </c>
      <c r="H103" s="103">
        <f>('Thurs (2)'!H103+Thurs!H103+'Tues '!H103+Wed!H103+Fri!H103+'Mon '!H103+'Wed (2)'!H103+Sun!H103+Sat!H103)</f>
        <v>0</v>
      </c>
      <c r="I103" s="103">
        <f>('Thurs (2)'!I103+Thurs!I103+'Tues '!I103+Wed!I103+Fri!I103+'Mon '!I103+'Wed (2)'!I103+Sun!I103+Sat!I103)</f>
        <v>0</v>
      </c>
      <c r="J103" s="103">
        <f>('Thurs (2)'!J103+Thurs!J103+'Tues '!J103+Wed!J103+Fri!J103+'Mon '!J103+'Wed (2)'!J103+Sun!J103+Sat!J103)</f>
        <v>0</v>
      </c>
      <c r="K103" s="103">
        <f>('Thurs (2)'!K103+Thurs!K103+'Tues '!K103+Wed!K103+Fri!K103+'Mon '!K103+'Wed (2)'!K103+Sun!K103+Sat!K103)</f>
        <v>0</v>
      </c>
      <c r="L103" s="103">
        <f>('Thurs (2)'!L103+Thurs!L103+'Tues '!L103+Wed!L103+Fri!L103+'Mon '!L103+'Wed (2)'!L103+Sun!L103+Sat!L103)</f>
        <v>0</v>
      </c>
      <c r="M103" s="103">
        <f>('Thurs (2)'!M103+Thurs!M103+'Tues '!M103+Wed!M103+Fri!M103+'Mon '!M103+'Wed (2)'!M103+Sun!M103+Sat!M103)</f>
        <v>0</v>
      </c>
      <c r="N103" s="103">
        <f>('Thurs (2)'!N103+Thurs!N103+'Tues '!N103+Wed!N103+Fri!N103+'Mon '!N103+'Wed (2)'!N103+Sun!N103+Sat!N103)</f>
        <v>0</v>
      </c>
      <c r="O103" s="103">
        <f>('Thurs (2)'!O103+Thurs!O103+'Tues '!O103+Wed!O103+Fri!O103+'Mon '!O103+'Wed (2)'!O103+Sun!O103+Sat!O103)</f>
        <v>0</v>
      </c>
      <c r="P103" s="103">
        <f>('Thurs (2)'!P103+Thurs!P103+'Tues '!P103+Wed!P103+Fri!P103+'Mon '!P103+'Wed (2)'!P103+Sun!P103+Sat!P103)</f>
        <v>0</v>
      </c>
      <c r="Q103" s="103">
        <f>('Thurs (2)'!Q103+Thurs!Q103+'Tues '!Q103+Wed!Q103+Fri!Q103+'Mon '!Q103+'Wed (2)'!Q103+Sun!Q103+Sat!Q103)</f>
        <v>0</v>
      </c>
      <c r="R103" s="103">
        <f>('Thurs (2)'!R103+Thurs!R103+'Tues '!R103+Wed!R103+Fri!R103+'Mon '!R103+'Wed (2)'!R103+Sun!R103+Sat!R103)</f>
        <v>0</v>
      </c>
      <c r="S103" s="103">
        <f>('Thurs (2)'!S103+Thurs!S103+'Tues '!S103+Wed!S103+Fri!S103+'Mon '!S103+'Wed (2)'!S103+Sun!S103+Sat!S103)</f>
        <v>0</v>
      </c>
      <c r="T103" s="103">
        <f>('Thurs (2)'!T103+Thurs!T103+'Tues '!T103+Wed!T103+Fri!T103+'Mon '!T103+'Wed (2)'!T103+Sun!T103+Sat!T103)</f>
        <v>0</v>
      </c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120</v>
      </c>
      <c r="D104" s="169"/>
      <c r="E104" s="168"/>
      <c r="F104" s="168" t="s">
        <v>122</v>
      </c>
      <c r="G104" s="103">
        <f>('Thurs (2)'!G104+Thurs!G104+'Tues '!G104+Wed!G104+Fri!G104+'Mon '!G104+'Wed (2)'!G104+Sun!G104+Sat!G104)</f>
        <v>0</v>
      </c>
      <c r="H104" s="103">
        <f>('Thurs (2)'!H104+Thurs!H104+'Tues '!H104+Wed!H104+Fri!H104+'Mon '!H104+'Wed (2)'!H104+Sun!H104+Sat!H104)</f>
        <v>0</v>
      </c>
      <c r="I104" s="103">
        <f>('Thurs (2)'!I104+Thurs!I104+'Tues '!I104+Wed!I104+Fri!I104+'Mon '!I104+'Wed (2)'!I104+Sun!I104+Sat!I104)</f>
        <v>0</v>
      </c>
      <c r="J104" s="103">
        <f>('Thurs (2)'!J104+Thurs!J104+'Tues '!J104+Wed!J104+Fri!J104+'Mon '!J104+'Wed (2)'!J104+Sun!J104+Sat!J104)</f>
        <v>0</v>
      </c>
      <c r="K104" s="103">
        <f>('Thurs (2)'!K104+Thurs!K104+'Tues '!K104+Wed!K104+Fri!K104+'Mon '!K104+'Wed (2)'!K104+Sun!K104+Sat!K104)</f>
        <v>0</v>
      </c>
      <c r="L104" s="103">
        <f>('Thurs (2)'!L104+Thurs!L104+'Tues '!L104+Wed!L104+Fri!L104+'Mon '!L104+'Wed (2)'!L104+Sun!L104+Sat!L104)</f>
        <v>0</v>
      </c>
      <c r="M104" s="103">
        <f>('Thurs (2)'!M104+Thurs!M104+'Tues '!M104+Wed!M104+Fri!M104+'Mon '!M104+'Wed (2)'!M104+Sun!M104+Sat!M104)</f>
        <v>0</v>
      </c>
      <c r="N104" s="103">
        <f>('Thurs (2)'!N104+Thurs!N104+'Tues '!N104+Wed!N104+Fri!N104+'Mon '!N104+'Wed (2)'!N104+Sun!N104+Sat!N104)</f>
        <v>0</v>
      </c>
      <c r="O104" s="103">
        <f>('Thurs (2)'!O104+Thurs!O104+'Tues '!O104+Wed!O104+Fri!O104+'Mon '!O104+'Wed (2)'!O104+Sun!O104+Sat!O104)</f>
        <v>0</v>
      </c>
      <c r="P104" s="103">
        <f>('Thurs (2)'!P104+Thurs!P104+'Tues '!P104+Wed!P104+Fri!P104+'Mon '!P104+'Wed (2)'!P104+Sun!P104+Sat!P104)</f>
        <v>0</v>
      </c>
      <c r="Q104" s="103">
        <f>('Thurs (2)'!Q104+Thurs!Q104+'Tues '!Q104+Wed!Q104+Fri!Q104+'Mon '!Q104+'Wed (2)'!Q104+Sun!Q104+Sat!Q104)</f>
        <v>0</v>
      </c>
      <c r="R104" s="103">
        <f>('Thurs (2)'!R104+Thurs!R104+'Tues '!R104+Wed!R104+Fri!R104+'Mon '!R104+'Wed (2)'!R104+Sun!R104+Sat!R104)</f>
        <v>0</v>
      </c>
      <c r="S104" s="103">
        <f>('Thurs (2)'!S104+Thurs!S104+'Tues '!S104+Wed!S104+Fri!S104+'Mon '!S104+'Wed (2)'!S104+Sun!S104+Sat!S104)</f>
        <v>0</v>
      </c>
      <c r="T104" s="103">
        <f>('Thurs (2)'!T104+Thurs!T104+'Tues '!T104+Wed!T104+Fri!T104+'Mon '!T104+'Wed (2)'!T104+Sun!T104+Sat!T104)</f>
        <v>0</v>
      </c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120</v>
      </c>
      <c r="D105" s="169"/>
      <c r="E105" s="168"/>
      <c r="F105" s="168" t="s">
        <v>125</v>
      </c>
      <c r="G105" s="103">
        <f>('Thurs (2)'!G105+Thurs!G105+'Tues '!G105+Wed!G105+Fri!G105+'Mon '!G105+'Wed (2)'!G105+Sun!G105+Sat!G105)</f>
        <v>8</v>
      </c>
      <c r="H105" s="103">
        <f>('Thurs (2)'!H105+Thurs!H105+'Tues '!H105+Wed!H105+Fri!H105+'Mon '!H105+'Wed (2)'!H105+Sun!H105+Sat!H105)</f>
        <v>4</v>
      </c>
      <c r="I105" s="103">
        <f>('Thurs (2)'!I105+Thurs!I105+'Tues '!I105+Wed!I105+Fri!I105+'Mon '!I105+'Wed (2)'!I105+Sun!I105+Sat!I105)</f>
        <v>0</v>
      </c>
      <c r="J105" s="103">
        <f>('Thurs (2)'!J105+Thurs!J105+'Tues '!J105+Wed!J105+Fri!J105+'Mon '!J105+'Wed (2)'!J105+Sun!J105+Sat!J105)</f>
        <v>0</v>
      </c>
      <c r="K105" s="103">
        <f>('Thurs (2)'!K105+Thurs!K105+'Tues '!K105+Wed!K105+Fri!K105+'Mon '!K105+'Wed (2)'!K105+Sun!K105+Sat!K105)</f>
        <v>0</v>
      </c>
      <c r="L105" s="103">
        <f>('Thurs (2)'!L105+Thurs!L105+'Tues '!L105+Wed!L105+Fri!L105+'Mon '!L105+'Wed (2)'!L105+Sun!L105+Sat!L105)</f>
        <v>0</v>
      </c>
      <c r="M105" s="103">
        <f>('Thurs (2)'!M105+Thurs!M105+'Tues '!M105+Wed!M105+Fri!M105+'Mon '!M105+'Wed (2)'!M105+Sun!M105+Sat!M105)</f>
        <v>6</v>
      </c>
      <c r="N105" s="103">
        <f>('Thurs (2)'!N105+Thurs!N105+'Tues '!N105+Wed!N105+Fri!N105+'Mon '!N105+'Wed (2)'!N105+Sun!N105+Sat!N105)</f>
        <v>2</v>
      </c>
      <c r="O105" s="103">
        <f>('Thurs (2)'!O105+Thurs!O105+'Tues '!O105+Wed!O105+Fri!O105+'Mon '!O105+'Wed (2)'!O105+Sun!O105+Sat!O105)</f>
        <v>0</v>
      </c>
      <c r="P105" s="103">
        <f>('Thurs (2)'!P105+Thurs!P105+'Tues '!P105+Wed!P105+Fri!P105+'Mon '!P105+'Wed (2)'!P105+Sun!P105+Sat!P105)</f>
        <v>0</v>
      </c>
      <c r="Q105" s="103">
        <f>('Thurs (2)'!Q105+Thurs!Q105+'Tues '!Q105+Wed!Q105+Fri!Q105+'Mon '!Q105+'Wed (2)'!Q105+Sun!Q105+Sat!Q105)</f>
        <v>0</v>
      </c>
      <c r="R105" s="103">
        <f>('Thurs (2)'!R105+Thurs!R105+'Tues '!R105+Wed!R105+Fri!R105+'Mon '!R105+'Wed (2)'!R105+Sun!R105+Sat!R105)</f>
        <v>0</v>
      </c>
      <c r="S105" s="103">
        <f>('Thurs (2)'!S105+Thurs!S105+'Tues '!S105+Wed!S105+Fri!S105+'Mon '!S105+'Wed (2)'!S105+Sun!S105+Sat!S105)</f>
        <v>0</v>
      </c>
      <c r="T105" s="103">
        <f>('Thurs (2)'!T105+Thurs!T105+'Tues '!T105+Wed!T105+Fri!T105+'Mon '!T105+'Wed (2)'!T105+Sun!T105+Sat!T105)</f>
        <v>0</v>
      </c>
      <c r="U105" s="104">
        <f t="shared" si="10"/>
        <v>0</v>
      </c>
      <c r="V105" s="104">
        <f t="shared" si="11"/>
        <v>0.5</v>
      </c>
      <c r="W105" s="105"/>
    </row>
    <row r="106" ht="13.5" customHeight="1">
      <c r="A106" s="160" t="s">
        <v>34</v>
      </c>
      <c r="B106" s="170"/>
      <c r="C106" s="160" t="s">
        <v>126</v>
      </c>
      <c r="D106" s="160" t="s">
        <v>52</v>
      </c>
      <c r="E106" s="160" t="s">
        <v>127</v>
      </c>
      <c r="F106" s="160" t="s">
        <v>126</v>
      </c>
      <c r="G106" s="103">
        <f>('Thurs (2)'!G106+Thurs!G106+'Tues '!G106+Wed!G106+Fri!G106+'Mon '!G106+'Wed (2)'!G106+Sun!G106+Sat!G106)</f>
        <v>0</v>
      </c>
      <c r="H106" s="103">
        <f>('Thurs (2)'!H106+Thurs!H106+'Tues '!H106+Wed!H106+Fri!H106+'Mon '!H106+'Wed (2)'!H106+Sun!H106+Sat!H106)</f>
        <v>0</v>
      </c>
      <c r="I106" s="103">
        <f>('Thurs (2)'!I106+Thurs!I106+'Tues '!I106+Wed!I106+Fri!I106+'Mon '!I106+'Wed (2)'!I106+Sun!I106+Sat!I106)</f>
        <v>0</v>
      </c>
      <c r="J106" s="103">
        <f>('Thurs (2)'!J106+Thurs!J106+'Tues '!J106+Wed!J106+Fri!J106+'Mon '!J106+'Wed (2)'!J106+Sun!J106+Sat!J106)</f>
        <v>0</v>
      </c>
      <c r="K106" s="103">
        <f>('Thurs (2)'!K106+Thurs!K106+'Tues '!K106+Wed!K106+Fri!K106+'Mon '!K106+'Wed (2)'!K106+Sun!K106+Sat!K106)</f>
        <v>0</v>
      </c>
      <c r="L106" s="103">
        <f>('Thurs (2)'!L106+Thurs!L106+'Tues '!L106+Wed!L106+Fri!L106+'Mon '!L106+'Wed (2)'!L106+Sun!L106+Sat!L106)</f>
        <v>0</v>
      </c>
      <c r="M106" s="103">
        <f>('Thurs (2)'!M106+Thurs!M106+'Tues '!M106+Wed!M106+Fri!M106+'Mon '!M106+'Wed (2)'!M106+Sun!M106+Sat!M106)</f>
        <v>0</v>
      </c>
      <c r="N106" s="103">
        <f>('Thurs (2)'!N106+Thurs!N106+'Tues '!N106+Wed!N106+Fri!N106+'Mon '!N106+'Wed (2)'!N106+Sun!N106+Sat!N106)</f>
        <v>0</v>
      </c>
      <c r="O106" s="103">
        <f>('Thurs (2)'!O106+Thurs!O106+'Tues '!O106+Wed!O106+Fri!O106+'Mon '!O106+'Wed (2)'!O106+Sun!O106+Sat!O106)</f>
        <v>0</v>
      </c>
      <c r="P106" s="103">
        <f>('Thurs (2)'!P106+Thurs!P106+'Tues '!P106+Wed!P106+Fri!P106+'Mon '!P106+'Wed (2)'!P106+Sun!P106+Sat!P106)</f>
        <v>0</v>
      </c>
      <c r="Q106" s="103">
        <f>('Thurs (2)'!Q106+Thurs!Q106+'Tues '!Q106+Wed!Q106+Fri!Q106+'Mon '!Q106+'Wed (2)'!Q106+Sun!Q106+Sat!Q106)</f>
        <v>0</v>
      </c>
      <c r="R106" s="103">
        <f>('Thurs (2)'!R106+Thurs!R106+'Tues '!R106+Wed!R106+Fri!R106+'Mon '!R106+'Wed (2)'!R106+Sun!R106+Sat!R106)</f>
        <v>0</v>
      </c>
      <c r="S106" s="103">
        <f>('Thurs (2)'!S106+Thurs!S106+'Tues '!S106+Wed!S106+Fri!S106+'Mon '!S106+'Wed (2)'!S106+Sun!S106+Sat!S106)</f>
        <v>0</v>
      </c>
      <c r="T106" s="103">
        <f>('Thurs (2)'!T106+Thurs!T106+'Tues '!T106+Wed!T106+Fri!T106+'Mon '!T106+'Wed (2)'!T106+Sun!T106+Sat!T106)</f>
        <v>0</v>
      </c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126</v>
      </c>
      <c r="D107" s="164"/>
      <c r="E107" s="163"/>
      <c r="F107" s="163" t="s">
        <v>128</v>
      </c>
      <c r="G107" s="103">
        <f>('Thurs (2)'!G107+Thurs!G107+'Tues '!G107+Wed!G107+Fri!G107+'Mon '!G107+'Wed (2)'!G107+Sun!G107+Sat!G107)</f>
        <v>0</v>
      </c>
      <c r="H107" s="103">
        <f>('Thurs (2)'!H107+Thurs!H107+'Tues '!H107+Wed!H107+Fri!H107+'Mon '!H107+'Wed (2)'!H107+Sun!H107+Sat!H107)</f>
        <v>0</v>
      </c>
      <c r="I107" s="103">
        <f>('Thurs (2)'!I107+Thurs!I107+'Tues '!I107+Wed!I107+Fri!I107+'Mon '!I107+'Wed (2)'!I107+Sun!I107+Sat!I107)</f>
        <v>0</v>
      </c>
      <c r="J107" s="103">
        <f>('Thurs (2)'!J107+Thurs!J107+'Tues '!J107+Wed!J107+Fri!J107+'Mon '!J107+'Wed (2)'!J107+Sun!J107+Sat!J107)</f>
        <v>0</v>
      </c>
      <c r="K107" s="103">
        <f>('Thurs (2)'!K107+Thurs!K107+'Tues '!K107+Wed!K107+Fri!K107+'Mon '!K107+'Wed (2)'!K107+Sun!K107+Sat!K107)</f>
        <v>0</v>
      </c>
      <c r="L107" s="103">
        <f>('Thurs (2)'!L107+Thurs!L107+'Tues '!L107+Wed!L107+Fri!L107+'Mon '!L107+'Wed (2)'!L107+Sun!L107+Sat!L107)</f>
        <v>0</v>
      </c>
      <c r="M107" s="103">
        <f>('Thurs (2)'!M107+Thurs!M107+'Tues '!M107+Wed!M107+Fri!M107+'Mon '!M107+'Wed (2)'!M107+Sun!M107+Sat!M107)</f>
        <v>0</v>
      </c>
      <c r="N107" s="103">
        <f>('Thurs (2)'!N107+Thurs!N107+'Tues '!N107+Wed!N107+Fri!N107+'Mon '!N107+'Wed (2)'!N107+Sun!N107+Sat!N107)</f>
        <v>0</v>
      </c>
      <c r="O107" s="103">
        <f>('Thurs (2)'!O107+Thurs!O107+'Tues '!O107+Wed!O107+Fri!O107+'Mon '!O107+'Wed (2)'!O107+Sun!O107+Sat!O107)</f>
        <v>0</v>
      </c>
      <c r="P107" s="103">
        <f>('Thurs (2)'!P107+Thurs!P107+'Tues '!P107+Wed!P107+Fri!P107+'Mon '!P107+'Wed (2)'!P107+Sun!P107+Sat!P107)</f>
        <v>0</v>
      </c>
      <c r="Q107" s="103">
        <f>('Thurs (2)'!Q107+Thurs!Q107+'Tues '!Q107+Wed!Q107+Fri!Q107+'Mon '!Q107+'Wed (2)'!Q107+Sun!Q107+Sat!Q107)</f>
        <v>0</v>
      </c>
      <c r="R107" s="103">
        <f>('Thurs (2)'!R107+Thurs!R107+'Tues '!R107+Wed!R107+Fri!R107+'Mon '!R107+'Wed (2)'!R107+Sun!R107+Sat!R107)</f>
        <v>0</v>
      </c>
      <c r="S107" s="103">
        <f>('Thurs (2)'!S107+Thurs!S107+'Tues '!S107+Wed!S107+Fri!S107+'Mon '!S107+'Wed (2)'!S107+Sun!S107+Sat!S107)</f>
        <v>0</v>
      </c>
      <c r="T107" s="103">
        <f>('Thurs (2)'!T107+Thurs!T107+'Tues '!T107+Wed!T107+Fri!T107+'Mon '!T107+'Wed (2)'!T107+Sun!T107+Sat!T107)</f>
        <v>0</v>
      </c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>
        <f>('Thurs (2)'!G109+Thurs!G109+'Tues '!G109+Wed!G109+Fri!G109+'Mon '!G109+'Wed (2)'!G109+Sun!G109+Sat!G109)</f>
        <v>0</v>
      </c>
      <c r="H109" s="103">
        <f>('Thurs (2)'!H109+Thurs!H109+'Tues '!H109+Wed!H109+Fri!H109+'Mon '!H109+'Wed (2)'!H109+Sun!H109+Sat!H109)</f>
        <v>0</v>
      </c>
      <c r="I109" s="103">
        <f>('Thurs (2)'!I109+Thurs!I109+'Tues '!I109+Wed!I109+Fri!I109+'Mon '!I109+'Wed (2)'!I109+Sun!I109+Sat!I109)</f>
        <v>0</v>
      </c>
      <c r="J109" s="103">
        <f>('Thurs (2)'!J109+Thurs!J109+'Tues '!J109+Wed!J109+Fri!J109+'Mon '!J109+'Wed (2)'!J109+Sun!J109+Sat!J109)</f>
        <v>0</v>
      </c>
      <c r="K109" s="103">
        <f>('Thurs (2)'!K109+Thurs!K109+'Tues '!K109+Wed!K109+Fri!K109+'Mon '!K109+'Wed (2)'!K109+Sun!K109+Sat!K109)</f>
        <v>0</v>
      </c>
      <c r="L109" s="103">
        <f>('Thurs (2)'!L109+Thurs!L109+'Tues '!L109+Wed!L109+Fri!L109+'Mon '!L109+'Wed (2)'!L109+Sun!L109+Sat!L109)</f>
        <v>0</v>
      </c>
      <c r="M109" s="103">
        <f>('Thurs (2)'!M109+Thurs!M109+'Tues '!M109+Wed!M109+Fri!M109+'Mon '!M109+'Wed (2)'!M109+Sun!M109+Sat!M109)</f>
        <v>0</v>
      </c>
      <c r="N109" s="103">
        <f>('Thurs (2)'!N109+Thurs!N109+'Tues '!N109+Wed!N109+Fri!N109+'Mon '!N109+'Wed (2)'!N109+Sun!N109+Sat!N109)</f>
        <v>0</v>
      </c>
      <c r="O109" s="103">
        <f>('Thurs (2)'!O109+Thurs!O109+'Tues '!O109+Wed!O109+Fri!O109+'Mon '!O109+'Wed (2)'!O109+Sun!O109+Sat!O109)</f>
        <v>0</v>
      </c>
      <c r="P109" s="103">
        <f>('Thurs (2)'!P109+Thurs!P109+'Tues '!P109+Wed!P109+Fri!P109+'Mon '!P109+'Wed (2)'!P109+Sun!P109+Sat!P109)</f>
        <v>0</v>
      </c>
      <c r="Q109" s="103">
        <f>('Thurs (2)'!Q109+Thurs!Q109+'Tues '!Q109+Wed!Q109+Fri!Q109+'Mon '!Q109+'Wed (2)'!Q109+Sun!Q109+Sat!Q109)</f>
        <v>0</v>
      </c>
      <c r="R109" s="103">
        <f>('Thurs (2)'!R109+Thurs!R109+'Tues '!R109+Wed!R109+Fri!R109+'Mon '!R109+'Wed (2)'!R109+Sun!R109+Sat!R109)</f>
        <v>0</v>
      </c>
      <c r="S109" s="103">
        <f>('Thurs (2)'!S109+Thurs!S109+'Tues '!S109+Wed!S109+Fri!S109+'Mon '!S109+'Wed (2)'!S109+Sun!S109+Sat!S109)</f>
        <v>0</v>
      </c>
      <c r="T109" s="103">
        <f>('Thurs (2)'!T109+Thurs!T109+'Tues '!T109+Wed!T109+Fri!T109+'Mon '!T109+'Wed (2)'!T109+Sun!T109+Sat!T109)</f>
        <v>0</v>
      </c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>
      <c r="A110" s="112" t="s">
        <v>35</v>
      </c>
      <c r="B110" s="128"/>
      <c r="C110" s="112" t="s">
        <v>129</v>
      </c>
      <c r="D110" s="112" t="s">
        <v>52</v>
      </c>
      <c r="E110" s="112"/>
      <c r="F110" s="112" t="s">
        <v>129</v>
      </c>
      <c r="G110" s="103">
        <f>('Thurs (2)'!G110+Thurs!G110+'Tues '!G110+Wed!G110+Fri!G110+'Mon '!G110+'Wed (2)'!G110+Sun!G110+Sat!G110)</f>
        <v>0</v>
      </c>
      <c r="H110" s="103">
        <f>('Thurs (2)'!H110+Thurs!H110+'Tues '!H110+Wed!H110+Fri!H110+'Mon '!H110+'Wed (2)'!H110+Sun!H110+Sat!H110)</f>
        <v>0</v>
      </c>
      <c r="I110" s="103">
        <f>('Thurs (2)'!I110+Thurs!I110+'Tues '!I110+Wed!I110+Fri!I110+'Mon '!I110+'Wed (2)'!I110+Sun!I110+Sat!I110)</f>
        <v>0</v>
      </c>
      <c r="J110" s="103">
        <f>('Thurs (2)'!J110+Thurs!J110+'Tues '!J110+Wed!J110+Fri!J110+'Mon '!J110+'Wed (2)'!J110+Sun!J110+Sat!J110)</f>
        <v>0</v>
      </c>
      <c r="K110" s="103">
        <f>('Thurs (2)'!K110+Thurs!K110+'Tues '!K110+Wed!K110+Fri!K110+'Mon '!K110+'Wed (2)'!K110+Sun!K110+Sat!K110)</f>
        <v>0</v>
      </c>
      <c r="L110" s="103">
        <f>('Thurs (2)'!L110+Thurs!L110+'Tues '!L110+Wed!L110+Fri!L110+'Mon '!L110+'Wed (2)'!L110+Sun!L110+Sat!L110)</f>
        <v>0</v>
      </c>
      <c r="M110" s="103">
        <f>('Thurs (2)'!M110+Thurs!M110+'Tues '!M110+Wed!M110+Fri!M110+'Mon '!M110+'Wed (2)'!M110+Sun!M110+Sat!M110)</f>
        <v>0</v>
      </c>
      <c r="N110" s="103">
        <f>('Thurs (2)'!N110+Thurs!N110+'Tues '!N110+Wed!N110+Fri!N110+'Mon '!N110+'Wed (2)'!N110+Sun!N110+Sat!N110)</f>
        <v>0</v>
      </c>
      <c r="O110" s="103">
        <f>('Thurs (2)'!O110+Thurs!O110+'Tues '!O110+Wed!O110+Fri!O110+'Mon '!O110+'Wed (2)'!O110+Sun!O110+Sat!O110)</f>
        <v>0</v>
      </c>
      <c r="P110" s="103">
        <f>('Thurs (2)'!P110+Thurs!P110+'Tues '!P110+Wed!P110+Fri!P110+'Mon '!P110+'Wed (2)'!P110+Sun!P110+Sat!P110)</f>
        <v>0</v>
      </c>
      <c r="Q110" s="103">
        <f>('Thurs (2)'!Q110+Thurs!Q110+'Tues '!Q110+Wed!Q110+Fri!Q110+'Mon '!Q110+'Wed (2)'!Q110+Sun!Q110+Sat!Q110)</f>
        <v>0</v>
      </c>
      <c r="R110" s="103">
        <f>('Thurs (2)'!R110+Thurs!R110+'Tues '!R110+Wed!R110+Fri!R110+'Mon '!R110+'Wed (2)'!R110+Sun!R110+Sat!R110)</f>
        <v>0</v>
      </c>
      <c r="S110" s="103">
        <f>('Thurs (2)'!S110+Thurs!S110+'Tues '!S110+Wed!S110+Fri!S110+'Mon '!S110+'Wed (2)'!S110+Sun!S110+Sat!S110)</f>
        <v>0</v>
      </c>
      <c r="T110" s="103">
        <f>('Thurs (2)'!T110+Thurs!T110+'Tues '!T110+Wed!T110+Fri!T110+'Mon '!T110+'Wed (2)'!T110+Sun!T110+Sat!T110)</f>
        <v>0</v>
      </c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903.12</v>
      </c>
      <c r="D2" s="10"/>
      <c r="E2" s="11">
        <f t="shared" ref="E2:R2" si="1">SUM(E5,E20,E23,E26,E29,E32)</f>
        <v>0</v>
      </c>
      <c r="F2" s="11">
        <f t="shared" si="1"/>
        <v>7</v>
      </c>
      <c r="G2" s="11">
        <f t="shared" si="1"/>
        <v>3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5</v>
      </c>
      <c r="N2" s="11">
        <f t="shared" si="1"/>
        <v>1</v>
      </c>
      <c r="O2" s="11">
        <f t="shared" si="1"/>
        <v>0</v>
      </c>
      <c r="P2" s="11">
        <f t="shared" si="1"/>
        <v>1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903.12</v>
      </c>
      <c r="F4" s="24">
        <f>IFERROR((G2+R2)/F2,0)</f>
        <v>0.5714285714</v>
      </c>
      <c r="G4" s="24">
        <f>IFERROR(H2/G2,0)</f>
        <v>0.3333333333</v>
      </c>
      <c r="H4" s="23">
        <f>(C2/C4)</f>
        <v>13.08869565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1.666666667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903.12</v>
      </c>
      <c r="D5" s="31"/>
      <c r="E5" s="32">
        <f>SUMIFS(T:T,A:A,B5,D:D,"Y")</f>
        <v>0</v>
      </c>
      <c r="F5" s="11">
        <f>SUMIF(A:A,B5,G:G)</f>
        <v>7</v>
      </c>
      <c r="G5" s="11">
        <f>SUMIF(A:A,B5,H:H)</f>
        <v>3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5</v>
      </c>
      <c r="N5" s="11">
        <f>SUMIF(A:A,B5,N:N)</f>
        <v>1</v>
      </c>
      <c r="O5" s="11">
        <f>SUMIF(A:A,B5,O:O)</f>
        <v>0</v>
      </c>
      <c r="P5" s="11">
        <f>SUMIF(A:A,B5,J:J)</f>
        <v>1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903.12</v>
      </c>
      <c r="F7" s="41">
        <f>IFERROR((G5+R5)/F5,0)</f>
        <v>0.5714285714</v>
      </c>
      <c r="G7" s="41">
        <f>IFERROR(H5/G5,0)</f>
        <v>0.3333333333</v>
      </c>
      <c r="H7" s="40">
        <f>(C5/C7)</f>
        <v>34.73538462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1.25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903.12</v>
      </c>
      <c r="D17" s="62"/>
      <c r="E17" s="49">
        <f>SUMIFS(T:T,B:B,B17,D:D,"Y")</f>
        <v>0</v>
      </c>
      <c r="F17" s="50">
        <f>SUMIF(B37:B1137,B17,G37:G1137)</f>
        <v>7</v>
      </c>
      <c r="G17" s="51">
        <f>SUMIF(B37:B1137,B17,H37:H1137)</f>
        <v>3</v>
      </c>
      <c r="H17" s="51">
        <f>SUMIF(B37:B1137,B17,I37:I1137)</f>
        <v>1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5</v>
      </c>
      <c r="N17" s="51">
        <f>SUMIF(B37:B1137,B17,N37:N1137)</f>
        <v>1</v>
      </c>
      <c r="O17" s="51">
        <f>SUMIF(B37:B1137,B17,O37:O1137)</f>
        <v>0</v>
      </c>
      <c r="P17" s="51">
        <f>SUMIF(B37:B1137,B17,J37:J1137)</f>
        <v>1</v>
      </c>
      <c r="Q17" s="51">
        <f>SUMIF(B37:B1137,B17,K37:K1137)</f>
        <v>0</v>
      </c>
      <c r="R17" s="52">
        <f>SUMIF(B37:B1137,B17,L37:L1137)</f>
        <v>1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903.12</v>
      </c>
      <c r="F19" s="24">
        <f>IFERROR((G17+R17)/F17,0)</f>
        <v>0.5714285714</v>
      </c>
      <c r="G19" s="24">
        <f>IFERROR(H17/G17,0)</f>
        <v>0.3333333333</v>
      </c>
      <c r="H19" s="23">
        <f>(C17/C19)</f>
        <v>150.52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IFERROR(M17/SUM(G17+R17,0),"")</f>
        <v>1.25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9">
        <v>0.0</v>
      </c>
      <c r="H47" s="179">
        <v>0.0</v>
      </c>
      <c r="I47" s="179">
        <v>0.0</v>
      </c>
      <c r="J47" s="179">
        <v>0.0</v>
      </c>
      <c r="K47" s="179">
        <v>0.0</v>
      </c>
      <c r="L47" s="179">
        <v>0.0</v>
      </c>
      <c r="M47" s="179">
        <v>0.0</v>
      </c>
      <c r="N47" s="179">
        <v>0.0</v>
      </c>
      <c r="O47" s="179">
        <v>0.0</v>
      </c>
      <c r="P47" s="179">
        <v>0.0</v>
      </c>
      <c r="Q47" s="179">
        <v>0.0</v>
      </c>
      <c r="R47" s="179">
        <v>0.0</v>
      </c>
      <c r="S47" s="179">
        <v>0.0</v>
      </c>
      <c r="T47" s="179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9">
        <v>0.0</v>
      </c>
      <c r="H48" s="179">
        <v>0.0</v>
      </c>
      <c r="I48" s="179">
        <v>0.0</v>
      </c>
      <c r="J48" s="179">
        <v>0.0</v>
      </c>
      <c r="K48" s="179">
        <v>0.0</v>
      </c>
      <c r="L48" s="179">
        <v>0.0</v>
      </c>
      <c r="M48" s="179">
        <v>0.0</v>
      </c>
      <c r="N48" s="179">
        <v>0.0</v>
      </c>
      <c r="O48" s="179">
        <v>0.0</v>
      </c>
      <c r="P48" s="179">
        <v>0.0</v>
      </c>
      <c r="Q48" s="179">
        <v>0.0</v>
      </c>
      <c r="R48" s="179">
        <v>0.0</v>
      </c>
      <c r="S48" s="179">
        <v>0.0</v>
      </c>
      <c r="T48" s="179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9">
        <v>0.0</v>
      </c>
      <c r="H49" s="179">
        <v>0.0</v>
      </c>
      <c r="I49" s="179">
        <v>0.0</v>
      </c>
      <c r="J49" s="179">
        <v>0.0</v>
      </c>
      <c r="K49" s="179">
        <v>0.0</v>
      </c>
      <c r="L49" s="179">
        <v>0.0</v>
      </c>
      <c r="M49" s="179">
        <v>0.0</v>
      </c>
      <c r="N49" s="179">
        <v>0.0</v>
      </c>
      <c r="O49" s="179">
        <v>0.0</v>
      </c>
      <c r="P49" s="179">
        <v>0.0</v>
      </c>
      <c r="Q49" s="179">
        <v>0.0</v>
      </c>
      <c r="R49" s="179">
        <v>0.0</v>
      </c>
      <c r="S49" s="179">
        <v>0.0</v>
      </c>
      <c r="T49" s="179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9">
        <v>0.0</v>
      </c>
      <c r="H50" s="179">
        <v>0.0</v>
      </c>
      <c r="I50" s="179">
        <v>0.0</v>
      </c>
      <c r="J50" s="179">
        <v>0.0</v>
      </c>
      <c r="K50" s="179">
        <v>0.0</v>
      </c>
      <c r="L50" s="179">
        <v>0.0</v>
      </c>
      <c r="M50" s="179">
        <v>0.0</v>
      </c>
      <c r="N50" s="179">
        <v>0.0</v>
      </c>
      <c r="O50" s="179">
        <v>0.0</v>
      </c>
      <c r="P50" s="179">
        <v>0.0</v>
      </c>
      <c r="Q50" s="179">
        <v>0.0</v>
      </c>
      <c r="R50" s="179">
        <v>0.0</v>
      </c>
      <c r="S50" s="179">
        <v>0.0</v>
      </c>
      <c r="T50" s="179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9">
        <v>0.0</v>
      </c>
      <c r="H51" s="179">
        <v>0.0</v>
      </c>
      <c r="I51" s="179">
        <v>0.0</v>
      </c>
      <c r="J51" s="179">
        <v>0.0</v>
      </c>
      <c r="K51" s="179">
        <v>0.0</v>
      </c>
      <c r="L51" s="179">
        <v>0.0</v>
      </c>
      <c r="M51" s="179">
        <v>0.0</v>
      </c>
      <c r="N51" s="179">
        <v>0.0</v>
      </c>
      <c r="O51" s="179">
        <v>0.0</v>
      </c>
      <c r="P51" s="179">
        <v>0.0</v>
      </c>
      <c r="Q51" s="179">
        <v>0.0</v>
      </c>
      <c r="R51" s="179">
        <v>0.0</v>
      </c>
      <c r="S51" s="179">
        <v>0.0</v>
      </c>
      <c r="T51" s="179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79">
        <v>0.0</v>
      </c>
      <c r="H52" s="179">
        <v>0.0</v>
      </c>
      <c r="I52" s="179">
        <v>0.0</v>
      </c>
      <c r="J52" s="179">
        <v>0.0</v>
      </c>
      <c r="K52" s="179">
        <v>0.0</v>
      </c>
      <c r="L52" s="179">
        <v>0.0</v>
      </c>
      <c r="M52" s="179">
        <v>0.0</v>
      </c>
      <c r="N52" s="179">
        <v>0.0</v>
      </c>
      <c r="O52" s="179">
        <v>0.0</v>
      </c>
      <c r="P52" s="179">
        <v>0.0</v>
      </c>
      <c r="Q52" s="179">
        <v>0.0</v>
      </c>
      <c r="R52" s="179">
        <v>0.0</v>
      </c>
      <c r="S52" s="179">
        <v>0.0</v>
      </c>
      <c r="T52" s="179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79">
        <v>2.0</v>
      </c>
      <c r="H58" s="179">
        <v>0.0</v>
      </c>
      <c r="I58" s="179">
        <v>0.0</v>
      </c>
      <c r="J58" s="179">
        <v>0.0</v>
      </c>
      <c r="K58" s="179">
        <v>0.0</v>
      </c>
      <c r="L58" s="179">
        <v>0.0</v>
      </c>
      <c r="M58" s="179">
        <v>0.0</v>
      </c>
      <c r="N58" s="179">
        <v>0.0</v>
      </c>
      <c r="O58" s="179">
        <v>0.0</v>
      </c>
      <c r="P58" s="179">
        <v>0.0</v>
      </c>
      <c r="Q58" s="179">
        <v>0.0</v>
      </c>
      <c r="R58" s="179">
        <v>0.0</v>
      </c>
      <c r="S58" s="179">
        <v>0.0</v>
      </c>
      <c r="T58" s="179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 t="s">
        <v>53</v>
      </c>
      <c r="F59" s="136" t="s">
        <v>80</v>
      </c>
      <c r="G59" s="179">
        <v>1.0</v>
      </c>
      <c r="H59" s="179">
        <v>0.0</v>
      </c>
      <c r="I59" s="179">
        <v>0.0</v>
      </c>
      <c r="J59" s="179">
        <v>0.0</v>
      </c>
      <c r="K59" s="179">
        <v>0.0</v>
      </c>
      <c r="L59" s="179">
        <v>0.0</v>
      </c>
      <c r="M59" s="179">
        <v>0.0</v>
      </c>
      <c r="N59" s="179">
        <v>0.0</v>
      </c>
      <c r="O59" s="179">
        <v>0.0</v>
      </c>
      <c r="P59" s="179">
        <v>0.0</v>
      </c>
      <c r="Q59" s="179">
        <v>0.0</v>
      </c>
      <c r="R59" s="179">
        <v>0.0</v>
      </c>
      <c r="S59" s="179">
        <v>0.0</v>
      </c>
      <c r="T59" s="179">
        <v>0.0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27" t="s">
        <v>26</v>
      </c>
      <c r="B60" s="113" t="s">
        <v>30</v>
      </c>
      <c r="C60" s="113" t="s">
        <v>81</v>
      </c>
      <c r="D60" s="113" t="s">
        <v>52</v>
      </c>
      <c r="E60" s="113"/>
      <c r="F60" s="113" t="s">
        <v>81</v>
      </c>
      <c r="G60" s="179">
        <v>2.0</v>
      </c>
      <c r="H60" s="179">
        <v>1.0</v>
      </c>
      <c r="I60" s="179">
        <v>0.0</v>
      </c>
      <c r="J60" s="179">
        <v>1.0</v>
      </c>
      <c r="K60" s="179">
        <v>0.0</v>
      </c>
      <c r="L60" s="179">
        <v>0.0</v>
      </c>
      <c r="M60" s="179">
        <v>5.0</v>
      </c>
      <c r="N60" s="179">
        <v>1.0</v>
      </c>
      <c r="O60" s="179">
        <v>0.0</v>
      </c>
      <c r="P60" s="179">
        <v>0.0</v>
      </c>
      <c r="Q60" s="179">
        <v>0.0</v>
      </c>
      <c r="R60" s="179">
        <v>0.0</v>
      </c>
      <c r="S60" s="179">
        <v>0.0</v>
      </c>
      <c r="T60" s="179">
        <v>0.0</v>
      </c>
      <c r="U60" s="104">
        <f t="shared" si="2"/>
        <v>0</v>
      </c>
      <c r="V60" s="104">
        <f t="shared" si="3"/>
        <v>0.5</v>
      </c>
      <c r="W60" s="105"/>
    </row>
    <row r="61" ht="15.0" customHeight="1">
      <c r="A61" s="129" t="s">
        <v>26</v>
      </c>
      <c r="B61" s="117" t="s">
        <v>30</v>
      </c>
      <c r="C61" s="118" t="s">
        <v>81</v>
      </c>
      <c r="D61" s="112"/>
      <c r="E61" s="118"/>
      <c r="F61" s="118" t="s">
        <v>82</v>
      </c>
      <c r="G61" s="179">
        <v>2.0</v>
      </c>
      <c r="H61" s="179">
        <v>2.0</v>
      </c>
      <c r="I61" s="179">
        <v>1.0</v>
      </c>
      <c r="J61" s="179">
        <v>0.0</v>
      </c>
      <c r="K61" s="179">
        <v>0.0</v>
      </c>
      <c r="L61" s="179">
        <v>1.0</v>
      </c>
      <c r="M61" s="179">
        <v>0.0</v>
      </c>
      <c r="N61" s="179">
        <v>0.0</v>
      </c>
      <c r="O61" s="179">
        <v>0.0</v>
      </c>
      <c r="P61" s="179">
        <v>0.0</v>
      </c>
      <c r="Q61" s="179">
        <v>0.0</v>
      </c>
      <c r="R61" s="179">
        <v>0.0</v>
      </c>
      <c r="S61" s="179">
        <v>0.0</v>
      </c>
      <c r="T61" s="179">
        <v>903.12</v>
      </c>
      <c r="U61" s="104">
        <f t="shared" si="2"/>
        <v>0.5</v>
      </c>
      <c r="V61" s="104">
        <f t="shared" si="3"/>
        <v>1.5</v>
      </c>
      <c r="W61" s="105"/>
    </row>
    <row r="62" ht="15.0" customHeight="1">
      <c r="A62" s="131" t="s">
        <v>26</v>
      </c>
      <c r="B62" s="137" t="s">
        <v>30</v>
      </c>
      <c r="C62" s="137" t="s">
        <v>83</v>
      </c>
      <c r="D62" s="137" t="s">
        <v>52</v>
      </c>
      <c r="E62" s="137"/>
      <c r="F62" s="137" t="s">
        <v>83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84</v>
      </c>
      <c r="D65" s="141" t="s">
        <v>52</v>
      </c>
      <c r="E65" s="112" t="s">
        <v>85</v>
      </c>
      <c r="F65" s="112" t="s">
        <v>84</v>
      </c>
      <c r="G65" s="179">
        <v>0.0</v>
      </c>
      <c r="H65" s="179">
        <v>0.0</v>
      </c>
      <c r="I65" s="179">
        <v>0.0</v>
      </c>
      <c r="J65" s="179">
        <v>0.0</v>
      </c>
      <c r="K65" s="179">
        <v>0.0</v>
      </c>
      <c r="L65" s="179">
        <v>0.0</v>
      </c>
      <c r="M65" s="179">
        <v>0.0</v>
      </c>
      <c r="N65" s="179">
        <v>0.0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03"/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84</v>
      </c>
      <c r="D66" s="144"/>
      <c r="E66" s="118"/>
      <c r="F66" s="118" t="s">
        <v>86</v>
      </c>
      <c r="G66" s="179">
        <v>0.0</v>
      </c>
      <c r="H66" s="179">
        <v>0.0</v>
      </c>
      <c r="I66" s="179">
        <v>0.0</v>
      </c>
      <c r="J66" s="179">
        <v>0.0</v>
      </c>
      <c r="K66" s="179">
        <v>0.0</v>
      </c>
      <c r="L66" s="179">
        <v>0.0</v>
      </c>
      <c r="M66" s="179">
        <v>0.0</v>
      </c>
      <c r="N66" s="179">
        <v>0.0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03"/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87</v>
      </c>
      <c r="D67" s="145" t="s">
        <v>52</v>
      </c>
      <c r="E67" s="102" t="s">
        <v>55</v>
      </c>
      <c r="F67" s="102" t="s">
        <v>87</v>
      </c>
      <c r="G67" s="179">
        <v>0.0</v>
      </c>
      <c r="H67" s="179">
        <v>0.0</v>
      </c>
      <c r="I67" s="179">
        <v>0.0</v>
      </c>
      <c r="J67" s="179">
        <v>0.0</v>
      </c>
      <c r="K67" s="179">
        <v>0.0</v>
      </c>
      <c r="L67" s="179">
        <v>0.0</v>
      </c>
      <c r="M67" s="179">
        <v>0.0</v>
      </c>
      <c r="N67" s="179">
        <v>0.0</v>
      </c>
      <c r="O67" s="179">
        <v>0.0</v>
      </c>
      <c r="P67" s="179">
        <v>0.0</v>
      </c>
      <c r="Q67" s="179">
        <v>0.0</v>
      </c>
      <c r="R67" s="179">
        <v>0.0</v>
      </c>
      <c r="S67" s="179">
        <v>0.0</v>
      </c>
      <c r="T67" s="179">
        <v>0.0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64</v>
      </c>
      <c r="F68" s="111" t="s">
        <v>88</v>
      </c>
      <c r="G68" s="179">
        <v>0.0</v>
      </c>
      <c r="H68" s="179">
        <v>0.0</v>
      </c>
      <c r="I68" s="179">
        <v>0.0</v>
      </c>
      <c r="J68" s="179">
        <v>0.0</v>
      </c>
      <c r="K68" s="179">
        <v>0.0</v>
      </c>
      <c r="L68" s="179">
        <v>0.0</v>
      </c>
      <c r="M68" s="179">
        <v>0.0</v>
      </c>
      <c r="N68" s="179">
        <v>0.0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87</v>
      </c>
      <c r="D69" s="146"/>
      <c r="E69" s="111" t="s">
        <v>89</v>
      </c>
      <c r="F69" s="111" t="s">
        <v>90</v>
      </c>
      <c r="G69" s="179">
        <v>0.0</v>
      </c>
      <c r="H69" s="179">
        <v>0.0</v>
      </c>
      <c r="I69" s="179">
        <v>0.0</v>
      </c>
      <c r="J69" s="179">
        <v>0.0</v>
      </c>
      <c r="K69" s="179">
        <v>0.0</v>
      </c>
      <c r="L69" s="179">
        <v>0.0</v>
      </c>
      <c r="M69" s="179">
        <v>0.0</v>
      </c>
      <c r="N69" s="179">
        <v>0.0</v>
      </c>
      <c r="O69" s="179">
        <v>0.0</v>
      </c>
      <c r="P69" s="179">
        <v>0.0</v>
      </c>
      <c r="Q69" s="179">
        <v>0.0</v>
      </c>
      <c r="R69" s="179">
        <v>0.0</v>
      </c>
      <c r="S69" s="179">
        <v>0.0</v>
      </c>
      <c r="T69" s="179">
        <v>0.0</v>
      </c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91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91</v>
      </c>
      <c r="F72" s="125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100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102</v>
      </c>
      <c r="D83" s="115" t="s">
        <v>52</v>
      </c>
      <c r="E83" s="112" t="s">
        <v>64</v>
      </c>
      <c r="F83" s="114" t="s">
        <v>102</v>
      </c>
      <c r="G83" s="179">
        <v>0.0</v>
      </c>
      <c r="H83" s="179">
        <v>0.0</v>
      </c>
      <c r="I83" s="179">
        <v>0.0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0.0</v>
      </c>
      <c r="P83" s="179">
        <v>0.0</v>
      </c>
      <c r="Q83" s="179">
        <v>0.0</v>
      </c>
      <c r="R83" s="179">
        <v>0.0</v>
      </c>
      <c r="S83" s="179">
        <v>0.0</v>
      </c>
      <c r="T83" s="179">
        <v>0.0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102</v>
      </c>
      <c r="D84" s="115"/>
      <c r="E84" s="112"/>
      <c r="F84" s="157" t="s">
        <v>103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102</v>
      </c>
      <c r="D85" s="115"/>
      <c r="E85" s="112"/>
      <c r="F85" s="157" t="s">
        <v>104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102</v>
      </c>
      <c r="D86" s="115"/>
      <c r="E86" s="112"/>
      <c r="F86" s="157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106</v>
      </c>
      <c r="D87" s="158" t="s">
        <v>52</v>
      </c>
      <c r="E87" s="132" t="s">
        <v>107</v>
      </c>
      <c r="F87" s="132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106</v>
      </c>
      <c r="D88" s="159"/>
      <c r="E88" s="125" t="s">
        <v>64</v>
      </c>
      <c r="F88" s="125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109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110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111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112</v>
      </c>
      <c r="F94" s="162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117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118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120</v>
      </c>
      <c r="D101" s="167" t="s">
        <v>52</v>
      </c>
      <c r="E101" s="165" t="s">
        <v>107</v>
      </c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120</v>
      </c>
      <c r="D102" s="169"/>
      <c r="E102" s="168" t="s">
        <v>121</v>
      </c>
      <c r="F102" s="168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120</v>
      </c>
      <c r="D103" s="169"/>
      <c r="E103" s="168" t="s">
        <v>123</v>
      </c>
      <c r="F103" s="168" t="s">
        <v>124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120</v>
      </c>
      <c r="D104" s="169"/>
      <c r="E104" s="168"/>
      <c r="F104" s="168" t="s">
        <v>122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120</v>
      </c>
      <c r="D105" s="169"/>
      <c r="E105" s="168"/>
      <c r="F105" s="168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126</v>
      </c>
      <c r="D106" s="160" t="s">
        <v>52</v>
      </c>
      <c r="E106" s="160" t="s">
        <v>127</v>
      </c>
      <c r="F106" s="160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126</v>
      </c>
      <c r="D107" s="164"/>
      <c r="E107" s="163"/>
      <c r="F107" s="163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129</v>
      </c>
      <c r="D110" s="112" t="s">
        <v>52</v>
      </c>
      <c r="E110" s="112"/>
      <c r="F110" s="112" t="s">
        <v>129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6</v>
      </c>
      <c r="G2" s="11">
        <f t="shared" si="1"/>
        <v>3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13</v>
      </c>
      <c r="N2" s="11">
        <f t="shared" si="1"/>
        <v>2</v>
      </c>
      <c r="O2" s="11">
        <f t="shared" si="1"/>
        <v>0</v>
      </c>
      <c r="P2" s="11">
        <f t="shared" si="1"/>
        <v>1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0</v>
      </c>
      <c r="F4" s="24">
        <f>IFERROR((G2+R2)/F2,0)</f>
        <v>0.5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4.333333333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5</v>
      </c>
      <c r="G5" s="11">
        <f>SUMIF(A:A,B5,H:H)</f>
        <v>3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13</v>
      </c>
      <c r="N5" s="11">
        <f>SUMIF(A:A,B5,N:N)</f>
        <v>2</v>
      </c>
      <c r="O5" s="11">
        <f>SUMIF(A:A,B5,O:O)</f>
        <v>0</v>
      </c>
      <c r="P5" s="11">
        <f>SUMIF(A:A,B5,J:J)</f>
        <v>1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0</v>
      </c>
      <c r="F7" s="41">
        <f>IFERROR((G5+R5)/F5,0)</f>
        <v>0.6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4.333333333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5</v>
      </c>
      <c r="G17" s="51">
        <f>SUMIF(B37:B1137,B17,H37:H1137)</f>
        <v>3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13</v>
      </c>
      <c r="N17" s="51">
        <f>SUMIF(B37:B1137,B17,N37:N1137)</f>
        <v>2</v>
      </c>
      <c r="O17" s="51">
        <f>SUMIF(B37:B1137,B17,O37:O1137)</f>
        <v>0</v>
      </c>
      <c r="P17" s="51">
        <f>SUMIF(B37:B1137,B17,J37:J1137)</f>
        <v>1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0</v>
      </c>
      <c r="F19" s="24">
        <f>IFERROR((G17+R17)/F17,0)</f>
        <v>0.6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IFERROR(M17/SUM(G17+R17,0),"")</f>
        <v>4.333333333</v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1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9">
        <v>0.0</v>
      </c>
      <c r="H47" s="179">
        <v>0.0</v>
      </c>
      <c r="I47" s="179">
        <v>0.0</v>
      </c>
      <c r="J47" s="179">
        <v>0.0</v>
      </c>
      <c r="K47" s="179">
        <v>0.0</v>
      </c>
      <c r="L47" s="179">
        <v>0.0</v>
      </c>
      <c r="M47" s="179">
        <v>0.0</v>
      </c>
      <c r="N47" s="179">
        <v>0.0</v>
      </c>
      <c r="O47" s="179">
        <v>0.0</v>
      </c>
      <c r="P47" s="179">
        <v>0.0</v>
      </c>
      <c r="Q47" s="179">
        <v>0.0</v>
      </c>
      <c r="R47" s="179">
        <v>0.0</v>
      </c>
      <c r="S47" s="179">
        <v>0.0</v>
      </c>
      <c r="T47" s="179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9">
        <v>0.0</v>
      </c>
      <c r="H48" s="179">
        <v>0.0</v>
      </c>
      <c r="I48" s="179">
        <v>0.0</v>
      </c>
      <c r="J48" s="179">
        <v>0.0</v>
      </c>
      <c r="K48" s="179">
        <v>0.0</v>
      </c>
      <c r="L48" s="179">
        <v>0.0</v>
      </c>
      <c r="M48" s="179">
        <v>0.0</v>
      </c>
      <c r="N48" s="179">
        <v>0.0</v>
      </c>
      <c r="O48" s="179">
        <v>0.0</v>
      </c>
      <c r="P48" s="179">
        <v>0.0</v>
      </c>
      <c r="Q48" s="179">
        <v>0.0</v>
      </c>
      <c r="R48" s="179">
        <v>0.0</v>
      </c>
      <c r="S48" s="179">
        <v>0.0</v>
      </c>
      <c r="T48" s="179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9">
        <v>0.0</v>
      </c>
      <c r="H49" s="179">
        <v>0.0</v>
      </c>
      <c r="I49" s="179">
        <v>0.0</v>
      </c>
      <c r="J49" s="179">
        <v>0.0</v>
      </c>
      <c r="K49" s="179">
        <v>0.0</v>
      </c>
      <c r="L49" s="179">
        <v>0.0</v>
      </c>
      <c r="M49" s="179">
        <v>0.0</v>
      </c>
      <c r="N49" s="179">
        <v>0.0</v>
      </c>
      <c r="O49" s="179">
        <v>0.0</v>
      </c>
      <c r="P49" s="179">
        <v>0.0</v>
      </c>
      <c r="Q49" s="179">
        <v>0.0</v>
      </c>
      <c r="R49" s="179">
        <v>0.0</v>
      </c>
      <c r="S49" s="179">
        <v>0.0</v>
      </c>
      <c r="T49" s="179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79">
        <v>0.0</v>
      </c>
      <c r="H50" s="179">
        <v>0.0</v>
      </c>
      <c r="I50" s="179">
        <v>0.0</v>
      </c>
      <c r="J50" s="179">
        <v>0.0</v>
      </c>
      <c r="K50" s="179">
        <v>0.0</v>
      </c>
      <c r="L50" s="179">
        <v>0.0</v>
      </c>
      <c r="M50" s="179">
        <v>0.0</v>
      </c>
      <c r="N50" s="179">
        <v>0.0</v>
      </c>
      <c r="O50" s="179">
        <v>0.0</v>
      </c>
      <c r="P50" s="179">
        <v>0.0</v>
      </c>
      <c r="Q50" s="179">
        <v>0.0</v>
      </c>
      <c r="R50" s="179">
        <v>0.0</v>
      </c>
      <c r="S50" s="179">
        <v>0.0</v>
      </c>
      <c r="T50" s="179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79">
        <v>0.0</v>
      </c>
      <c r="H51" s="179">
        <v>0.0</v>
      </c>
      <c r="I51" s="179">
        <v>0.0</v>
      </c>
      <c r="J51" s="179">
        <v>0.0</v>
      </c>
      <c r="K51" s="179">
        <v>0.0</v>
      </c>
      <c r="L51" s="179">
        <v>0.0</v>
      </c>
      <c r="M51" s="179">
        <v>0.0</v>
      </c>
      <c r="N51" s="179">
        <v>0.0</v>
      </c>
      <c r="O51" s="179">
        <v>0.0</v>
      </c>
      <c r="P51" s="179">
        <v>0.0</v>
      </c>
      <c r="Q51" s="179">
        <v>0.0</v>
      </c>
      <c r="R51" s="179">
        <v>0.0</v>
      </c>
      <c r="S51" s="179">
        <v>0.0</v>
      </c>
      <c r="T51" s="179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79">
        <v>0.0</v>
      </c>
      <c r="H52" s="179">
        <v>0.0</v>
      </c>
      <c r="I52" s="179">
        <v>0.0</v>
      </c>
      <c r="J52" s="179">
        <v>0.0</v>
      </c>
      <c r="K52" s="179">
        <v>0.0</v>
      </c>
      <c r="L52" s="179">
        <v>0.0</v>
      </c>
      <c r="M52" s="179">
        <v>0.0</v>
      </c>
      <c r="N52" s="179">
        <v>0.0</v>
      </c>
      <c r="O52" s="179">
        <v>0.0</v>
      </c>
      <c r="P52" s="179">
        <v>0.0</v>
      </c>
      <c r="Q52" s="179">
        <v>0.0</v>
      </c>
      <c r="R52" s="179">
        <v>0.0</v>
      </c>
      <c r="S52" s="179">
        <v>0.0</v>
      </c>
      <c r="T52" s="179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79">
        <v>3.0</v>
      </c>
      <c r="H58" s="179">
        <v>1.0</v>
      </c>
      <c r="I58" s="179">
        <v>0.0</v>
      </c>
      <c r="J58" s="179">
        <v>0.0</v>
      </c>
      <c r="K58" s="179">
        <v>0.0</v>
      </c>
      <c r="L58" s="179">
        <v>0.0</v>
      </c>
      <c r="M58" s="179">
        <v>4.0</v>
      </c>
      <c r="N58" s="179">
        <v>0.0</v>
      </c>
      <c r="O58" s="179">
        <v>0.0</v>
      </c>
      <c r="P58" s="179">
        <v>0.0</v>
      </c>
      <c r="Q58" s="179">
        <v>0.0</v>
      </c>
      <c r="R58" s="179">
        <v>0.0</v>
      </c>
      <c r="S58" s="179">
        <v>0.0</v>
      </c>
      <c r="T58" s="179">
        <v>0.0</v>
      </c>
      <c r="U58" s="104">
        <f t="shared" si="2"/>
        <v>0</v>
      </c>
      <c r="V58" s="104">
        <f t="shared" si="3"/>
        <v>0.3333333333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 t="s">
        <v>53</v>
      </c>
      <c r="F59" s="136" t="s">
        <v>80</v>
      </c>
      <c r="G59" s="179">
        <v>0.0</v>
      </c>
      <c r="H59" s="179">
        <v>0.0</v>
      </c>
      <c r="I59" s="179">
        <v>0.0</v>
      </c>
      <c r="J59" s="179">
        <v>0.0</v>
      </c>
      <c r="K59" s="179">
        <v>0.0</v>
      </c>
      <c r="L59" s="179">
        <v>0.0</v>
      </c>
      <c r="M59" s="179">
        <v>0.0</v>
      </c>
      <c r="N59" s="179">
        <v>0.0</v>
      </c>
      <c r="O59" s="179">
        <v>0.0</v>
      </c>
      <c r="P59" s="179">
        <v>0.0</v>
      </c>
      <c r="Q59" s="179">
        <v>0.0</v>
      </c>
      <c r="R59" s="179">
        <v>0.0</v>
      </c>
      <c r="S59" s="179">
        <v>0.0</v>
      </c>
      <c r="T59" s="179">
        <v>0.0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27" t="s">
        <v>26</v>
      </c>
      <c r="B60" s="113" t="s">
        <v>30</v>
      </c>
      <c r="C60" s="113" t="s">
        <v>81</v>
      </c>
      <c r="D60" s="113" t="s">
        <v>52</v>
      </c>
      <c r="E60" s="113"/>
      <c r="F60" s="113" t="s">
        <v>81</v>
      </c>
      <c r="G60" s="179">
        <v>2.0</v>
      </c>
      <c r="H60" s="179">
        <v>2.0</v>
      </c>
      <c r="I60" s="179">
        <v>0.0</v>
      </c>
      <c r="J60" s="179">
        <v>1.0</v>
      </c>
      <c r="K60" s="179">
        <v>0.0</v>
      </c>
      <c r="L60" s="179">
        <v>0.0</v>
      </c>
      <c r="M60" s="179">
        <v>9.0</v>
      </c>
      <c r="N60" s="179">
        <v>2.0</v>
      </c>
      <c r="O60" s="179">
        <v>0.0</v>
      </c>
      <c r="P60" s="179">
        <v>0.0</v>
      </c>
      <c r="Q60" s="179">
        <v>0.0</v>
      </c>
      <c r="R60" s="179">
        <v>0.0</v>
      </c>
      <c r="S60" s="179">
        <v>0.0</v>
      </c>
      <c r="T60" s="179">
        <v>0.0</v>
      </c>
      <c r="U60" s="104">
        <f t="shared" si="2"/>
        <v>0</v>
      </c>
      <c r="V60" s="104">
        <f t="shared" si="3"/>
        <v>1</v>
      </c>
      <c r="W60" s="105"/>
    </row>
    <row r="61" ht="15.0" customHeight="1">
      <c r="A61" s="129" t="s">
        <v>26</v>
      </c>
      <c r="B61" s="117" t="s">
        <v>30</v>
      </c>
      <c r="C61" s="118" t="s">
        <v>81</v>
      </c>
      <c r="D61" s="112"/>
      <c r="E61" s="118"/>
      <c r="F61" s="118" t="s">
        <v>82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37" t="s">
        <v>30</v>
      </c>
      <c r="C62" s="137" t="s">
        <v>83</v>
      </c>
      <c r="D62" s="137" t="s">
        <v>52</v>
      </c>
      <c r="E62" s="137"/>
      <c r="F62" s="137" t="s">
        <v>83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6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84</v>
      </c>
      <c r="D65" s="141" t="s">
        <v>52</v>
      </c>
      <c r="E65" s="112" t="s">
        <v>85</v>
      </c>
      <c r="F65" s="112" t="s">
        <v>84</v>
      </c>
      <c r="G65" s="179">
        <v>0.0</v>
      </c>
      <c r="H65" s="179">
        <v>0.0</v>
      </c>
      <c r="I65" s="179">
        <v>0.0</v>
      </c>
      <c r="J65" s="179">
        <v>0.0</v>
      </c>
      <c r="K65" s="179">
        <v>0.0</v>
      </c>
      <c r="L65" s="179">
        <v>0.0</v>
      </c>
      <c r="M65" s="179">
        <v>0.0</v>
      </c>
      <c r="N65" s="179">
        <v>0.0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79">
        <v>0.0</v>
      </c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84</v>
      </c>
      <c r="D66" s="144"/>
      <c r="E66" s="118"/>
      <c r="F66" s="118" t="s">
        <v>86</v>
      </c>
      <c r="G66" s="179">
        <v>0.0</v>
      </c>
      <c r="H66" s="179">
        <v>0.0</v>
      </c>
      <c r="I66" s="179">
        <v>0.0</v>
      </c>
      <c r="J66" s="179">
        <v>0.0</v>
      </c>
      <c r="K66" s="179">
        <v>0.0</v>
      </c>
      <c r="L66" s="179">
        <v>0.0</v>
      </c>
      <c r="M66" s="179">
        <v>0.0</v>
      </c>
      <c r="N66" s="179">
        <v>0.0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79">
        <v>0.0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87</v>
      </c>
      <c r="D67" s="145" t="s">
        <v>52</v>
      </c>
      <c r="E67" s="102" t="s">
        <v>55</v>
      </c>
      <c r="F67" s="102" t="s">
        <v>87</v>
      </c>
      <c r="G67" s="179">
        <v>0.0</v>
      </c>
      <c r="H67" s="179">
        <v>0.0</v>
      </c>
      <c r="I67" s="179">
        <v>0.0</v>
      </c>
      <c r="J67" s="179">
        <v>0.0</v>
      </c>
      <c r="K67" s="179">
        <v>0.0</v>
      </c>
      <c r="L67" s="179">
        <v>0.0</v>
      </c>
      <c r="M67" s="179">
        <v>0.0</v>
      </c>
      <c r="N67" s="179">
        <v>0.0</v>
      </c>
      <c r="O67" s="179">
        <v>0.0</v>
      </c>
      <c r="P67" s="179">
        <v>0.0</v>
      </c>
      <c r="Q67" s="179">
        <v>0.0</v>
      </c>
      <c r="R67" s="179">
        <v>0.0</v>
      </c>
      <c r="S67" s="179">
        <v>0.0</v>
      </c>
      <c r="T67" s="179">
        <v>0.0</v>
      </c>
      <c r="U67" s="180">
        <v>0.0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64</v>
      </c>
      <c r="F68" s="111" t="s">
        <v>88</v>
      </c>
      <c r="G68" s="179">
        <v>0.0</v>
      </c>
      <c r="H68" s="179">
        <v>0.0</v>
      </c>
      <c r="I68" s="179">
        <v>0.0</v>
      </c>
      <c r="J68" s="179">
        <v>0.0</v>
      </c>
      <c r="K68" s="179">
        <v>0.0</v>
      </c>
      <c r="L68" s="179">
        <v>0.0</v>
      </c>
      <c r="M68" s="179">
        <v>0.0</v>
      </c>
      <c r="N68" s="179">
        <v>0.0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ref="U68:U69" si="6">IFERROR(I68/H68,0)</f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87</v>
      </c>
      <c r="D69" s="146"/>
      <c r="E69" s="111" t="s">
        <v>89</v>
      </c>
      <c r="F69" s="111" t="s">
        <v>90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6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91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7">IFERROR(I71/H71,0)</f>
        <v>0</v>
      </c>
      <c r="V71" s="104">
        <f t="shared" ref="V71:V79" si="8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91</v>
      </c>
      <c r="F72" s="125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7"/>
        <v>0</v>
      </c>
      <c r="V72" s="104">
        <f t="shared" si="8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7"/>
        <v>0</v>
      </c>
      <c r="V73" s="104">
        <f t="shared" si="8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7"/>
        <v>0</v>
      </c>
      <c r="V74" s="104">
        <f t="shared" si="8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7"/>
        <v>0</v>
      </c>
      <c r="V75" s="104">
        <f t="shared" si="8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7"/>
        <v>0</v>
      </c>
      <c r="V76" s="104">
        <f t="shared" si="8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7"/>
        <v>0</v>
      </c>
      <c r="V77" s="104">
        <f t="shared" si="8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7"/>
        <v>0</v>
      </c>
      <c r="V78" s="104">
        <f t="shared" si="8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7"/>
        <v>0</v>
      </c>
      <c r="V79" s="104">
        <f t="shared" si="8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100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9">IFERROR(I81/H81,0)</f>
        <v>0</v>
      </c>
      <c r="V81" s="104">
        <f t="shared" ref="V81:V88" si="10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9"/>
        <v>0</v>
      </c>
      <c r="V82" s="104">
        <f t="shared" si="10"/>
        <v>0</v>
      </c>
      <c r="W82" s="105"/>
    </row>
    <row r="83" ht="12.75" customHeight="1">
      <c r="A83" s="154" t="s">
        <v>33</v>
      </c>
      <c r="B83" s="154"/>
      <c r="C83" s="114" t="s">
        <v>102</v>
      </c>
      <c r="D83" s="115" t="s">
        <v>52</v>
      </c>
      <c r="E83" s="112" t="s">
        <v>64</v>
      </c>
      <c r="F83" s="114" t="s">
        <v>102</v>
      </c>
      <c r="G83" s="179">
        <v>1.0</v>
      </c>
      <c r="H83" s="179">
        <v>0.0</v>
      </c>
      <c r="I83" s="179">
        <v>0.0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0.0</v>
      </c>
      <c r="P83" s="179">
        <v>0.0</v>
      </c>
      <c r="Q83" s="179">
        <v>0.0</v>
      </c>
      <c r="R83" s="179">
        <v>0.0</v>
      </c>
      <c r="S83" s="179">
        <v>0.0</v>
      </c>
      <c r="T83" s="179">
        <v>0.0</v>
      </c>
      <c r="U83" s="104">
        <f t="shared" si="9"/>
        <v>0</v>
      </c>
      <c r="V83" s="104">
        <f t="shared" si="10"/>
        <v>0</v>
      </c>
      <c r="W83" s="105"/>
    </row>
    <row r="84" ht="12.75" customHeight="1">
      <c r="A84" s="155" t="s">
        <v>33</v>
      </c>
      <c r="B84" s="156"/>
      <c r="C84" s="155" t="s">
        <v>102</v>
      </c>
      <c r="D84" s="115"/>
      <c r="E84" s="112"/>
      <c r="F84" s="157" t="s">
        <v>103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9"/>
        <v>0</v>
      </c>
      <c r="V84" s="104">
        <f t="shared" si="10"/>
        <v>0</v>
      </c>
      <c r="W84" s="105"/>
    </row>
    <row r="85" ht="12.75" customHeight="1">
      <c r="A85" s="155" t="s">
        <v>33</v>
      </c>
      <c r="B85" s="156"/>
      <c r="C85" s="155" t="s">
        <v>102</v>
      </c>
      <c r="D85" s="115"/>
      <c r="E85" s="112"/>
      <c r="F85" s="157" t="s">
        <v>104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9"/>
        <v>0</v>
      </c>
      <c r="V85" s="104">
        <f t="shared" si="10"/>
        <v>0</v>
      </c>
      <c r="W85" s="105"/>
    </row>
    <row r="86" ht="12.75" customHeight="1">
      <c r="A86" s="155" t="s">
        <v>33</v>
      </c>
      <c r="B86" s="156"/>
      <c r="C86" s="155" t="s">
        <v>102</v>
      </c>
      <c r="D86" s="115"/>
      <c r="E86" s="112"/>
      <c r="F86" s="157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9"/>
        <v>0</v>
      </c>
      <c r="V86" s="104">
        <f t="shared" si="10"/>
        <v>0</v>
      </c>
      <c r="W86" s="105"/>
    </row>
    <row r="87" ht="12.75" customHeight="1">
      <c r="A87" s="151" t="s">
        <v>33</v>
      </c>
      <c r="B87" s="151"/>
      <c r="C87" s="132" t="s">
        <v>106</v>
      </c>
      <c r="D87" s="158" t="s">
        <v>52</v>
      </c>
      <c r="E87" s="132" t="s">
        <v>107</v>
      </c>
      <c r="F87" s="132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9"/>
        <v>0</v>
      </c>
      <c r="V87" s="104">
        <f t="shared" si="10"/>
        <v>0</v>
      </c>
      <c r="W87" s="105"/>
    </row>
    <row r="88" ht="12.75" customHeight="1">
      <c r="A88" s="153" t="s">
        <v>33</v>
      </c>
      <c r="B88" s="153"/>
      <c r="C88" s="125" t="s">
        <v>106</v>
      </c>
      <c r="D88" s="159"/>
      <c r="E88" s="125" t="s">
        <v>64</v>
      </c>
      <c r="F88" s="125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9"/>
        <v>0</v>
      </c>
      <c r="V88" s="104">
        <f t="shared" si="10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1">IFERROR(I90/H90,0)</f>
        <v>0</v>
      </c>
      <c r="V90" s="104">
        <f t="shared" ref="V90:V107" si="12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109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1"/>
        <v>0</v>
      </c>
      <c r="V91" s="104">
        <f t="shared" si="12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110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1"/>
        <v>0</v>
      </c>
      <c r="V92" s="104">
        <f t="shared" si="12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111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1"/>
        <v>0</v>
      </c>
      <c r="V93" s="104">
        <f t="shared" si="12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112</v>
      </c>
      <c r="F94" s="162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1"/>
        <v>0</v>
      </c>
      <c r="V94" s="104">
        <f t="shared" si="12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1"/>
        <v>0</v>
      </c>
      <c r="V95" s="104">
        <f t="shared" si="12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1"/>
        <v>0</v>
      </c>
      <c r="V96" s="104">
        <f t="shared" si="12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1"/>
        <v>0</v>
      </c>
      <c r="V97" s="104">
        <f t="shared" si="12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117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1"/>
        <v>0</v>
      </c>
      <c r="V98" s="104">
        <f t="shared" si="12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118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1"/>
        <v>0</v>
      </c>
      <c r="V99" s="104">
        <f t="shared" si="12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1"/>
        <v>0</v>
      </c>
      <c r="V100" s="104">
        <f t="shared" si="12"/>
        <v>0</v>
      </c>
      <c r="W100" s="105"/>
    </row>
    <row r="101" ht="13.5" customHeight="1">
      <c r="A101" s="165" t="s">
        <v>34</v>
      </c>
      <c r="B101" s="166"/>
      <c r="C101" s="165" t="s">
        <v>120</v>
      </c>
      <c r="D101" s="167" t="s">
        <v>52</v>
      </c>
      <c r="E101" s="165" t="s">
        <v>107</v>
      </c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1"/>
        <v>0</v>
      </c>
      <c r="V101" s="104">
        <f t="shared" si="12"/>
        <v>0</v>
      </c>
      <c r="W101" s="105"/>
    </row>
    <row r="102" ht="13.5" customHeight="1">
      <c r="A102" s="168" t="s">
        <v>34</v>
      </c>
      <c r="B102" s="169"/>
      <c r="C102" s="168" t="s">
        <v>120</v>
      </c>
      <c r="D102" s="169"/>
      <c r="E102" s="168" t="s">
        <v>121</v>
      </c>
      <c r="F102" s="168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1"/>
        <v>0</v>
      </c>
      <c r="V102" s="104">
        <f t="shared" si="12"/>
        <v>0</v>
      </c>
      <c r="W102" s="105"/>
    </row>
    <row r="103" ht="13.5" customHeight="1">
      <c r="A103" s="168" t="s">
        <v>34</v>
      </c>
      <c r="B103" s="169"/>
      <c r="C103" s="168" t="s">
        <v>120</v>
      </c>
      <c r="D103" s="169"/>
      <c r="E103" s="168" t="s">
        <v>123</v>
      </c>
      <c r="F103" s="168" t="s">
        <v>124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1"/>
        <v>0</v>
      </c>
      <c r="V103" s="104">
        <f t="shared" si="12"/>
        <v>0</v>
      </c>
      <c r="W103" s="105"/>
    </row>
    <row r="104" ht="13.5" customHeight="1">
      <c r="A104" s="168" t="s">
        <v>34</v>
      </c>
      <c r="B104" s="169"/>
      <c r="C104" s="168" t="s">
        <v>120</v>
      </c>
      <c r="D104" s="169"/>
      <c r="E104" s="168"/>
      <c r="F104" s="168" t="s">
        <v>122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1"/>
        <v>0</v>
      </c>
      <c r="V104" s="104">
        <f t="shared" si="12"/>
        <v>0</v>
      </c>
      <c r="W104" s="105"/>
    </row>
    <row r="105" ht="13.5" customHeight="1">
      <c r="A105" s="168" t="s">
        <v>34</v>
      </c>
      <c r="B105" s="169"/>
      <c r="C105" s="168" t="s">
        <v>120</v>
      </c>
      <c r="D105" s="169"/>
      <c r="E105" s="168"/>
      <c r="F105" s="168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1"/>
        <v>0</v>
      </c>
      <c r="V105" s="104">
        <f t="shared" si="12"/>
        <v>0</v>
      </c>
      <c r="W105" s="105"/>
    </row>
    <row r="106" ht="13.5" customHeight="1">
      <c r="A106" s="160" t="s">
        <v>34</v>
      </c>
      <c r="B106" s="170"/>
      <c r="C106" s="160" t="s">
        <v>126</v>
      </c>
      <c r="D106" s="160" t="s">
        <v>52</v>
      </c>
      <c r="E106" s="160" t="s">
        <v>127</v>
      </c>
      <c r="F106" s="160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1"/>
        <v>0</v>
      </c>
      <c r="V106" s="104">
        <f t="shared" si="12"/>
        <v>0</v>
      </c>
      <c r="W106" s="105"/>
    </row>
    <row r="107" ht="13.5" customHeight="1">
      <c r="A107" s="163" t="s">
        <v>34</v>
      </c>
      <c r="B107" s="164"/>
      <c r="C107" s="163" t="s">
        <v>126</v>
      </c>
      <c r="D107" s="164"/>
      <c r="E107" s="163"/>
      <c r="F107" s="163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1"/>
        <v>0</v>
      </c>
      <c r="V107" s="104">
        <f t="shared" si="12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3">IFERROR(I109/H109,0)</f>
        <v>0</v>
      </c>
      <c r="V109" s="142">
        <f t="shared" ref="V109:V110" si="14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129</v>
      </c>
      <c r="D110" s="112" t="s">
        <v>52</v>
      </c>
      <c r="E110" s="112"/>
      <c r="F110" s="112" t="s">
        <v>129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3"/>
        <v>0</v>
      </c>
      <c r="V110" s="142">
        <f t="shared" si="14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3665.76</v>
      </c>
      <c r="D2" s="10"/>
      <c r="E2" s="11">
        <f t="shared" ref="E2:R2" si="1">SUM(E5,E20,E23,E26,E29,E32)</f>
        <v>2532</v>
      </c>
      <c r="F2" s="11">
        <f t="shared" si="1"/>
        <v>6</v>
      </c>
      <c r="G2" s="11">
        <f t="shared" si="1"/>
        <v>6</v>
      </c>
      <c r="H2" s="11">
        <f t="shared" si="1"/>
        <v>2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0</v>
      </c>
      <c r="M2" s="11">
        <f t="shared" si="1"/>
        <v>17</v>
      </c>
      <c r="N2" s="11">
        <f t="shared" si="1"/>
        <v>4</v>
      </c>
      <c r="O2" s="11">
        <f t="shared" si="1"/>
        <v>1</v>
      </c>
      <c r="P2" s="11">
        <f t="shared" si="1"/>
        <v>3</v>
      </c>
      <c r="Q2" s="11">
        <f t="shared" si="1"/>
        <v>2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1832.88</v>
      </c>
      <c r="F4" s="24">
        <f>IFERROR((G2+R2)/F2,0)</f>
        <v>1</v>
      </c>
      <c r="G4" s="24">
        <f>IFERROR(H2/G2,0)</f>
        <v>0.3333333333</v>
      </c>
      <c r="H4" s="23">
        <f>(C2/C4)</f>
        <v>53.12695652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2.833333333</v>
      </c>
      <c r="N4" s="25"/>
      <c r="O4" s="24">
        <f>IFERROR(O2/N2,0)</f>
        <v>0.25</v>
      </c>
      <c r="P4" s="26"/>
      <c r="Q4" s="24">
        <f>IFERROR(Q2/P2,0)</f>
        <v>0.6666666667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1133.76</v>
      </c>
      <c r="D5" s="31"/>
      <c r="E5" s="32">
        <f>SUMIFS(T:T,A:A,B5,D:D,"Y")</f>
        <v>0</v>
      </c>
      <c r="F5" s="11">
        <f>SUMIF(A:A,B5,G:G)</f>
        <v>5</v>
      </c>
      <c r="G5" s="11">
        <f>SUMIF(A:A,B5,H:H)</f>
        <v>4</v>
      </c>
      <c r="H5" s="11">
        <f>SUMIF(A:A,B5,I:I)</f>
        <v>1</v>
      </c>
      <c r="I5" s="11">
        <f>SUMIF(A:A,B5,P:P)</f>
        <v>0</v>
      </c>
      <c r="J5" s="11">
        <f>SUMIF(A:A,B5,Q:Q)</f>
        <v>0</v>
      </c>
      <c r="K5" s="11">
        <f>SUMIF(A:A,B5,R:R)</f>
        <v>1</v>
      </c>
      <c r="L5" s="11">
        <f>SUMIF(A:A,B5,S:S)</f>
        <v>0</v>
      </c>
      <c r="M5" s="11">
        <f>SUMIF(A:A,B5,M:M)</f>
        <v>8</v>
      </c>
      <c r="N5" s="11">
        <f>SUMIF(A:A,B5,N:N)</f>
        <v>2</v>
      </c>
      <c r="O5" s="11">
        <f>SUMIF(A:A,B5,O:O)</f>
        <v>1</v>
      </c>
      <c r="P5" s="11">
        <f>SUMIF(A:A,B5,J:J)</f>
        <v>1</v>
      </c>
      <c r="Q5" s="11">
        <f>SUMIF(A:A,B5,K:K)</f>
        <v>1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1133.76</v>
      </c>
      <c r="F7" s="41">
        <f>IFERROR((G5+R5)/F5,0)</f>
        <v>0.8</v>
      </c>
      <c r="G7" s="41">
        <f>IFERROR(H5/G5,0)</f>
        <v>0.25</v>
      </c>
      <c r="H7" s="40">
        <f>(C5/C7)</f>
        <v>43.60615385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</v>
      </c>
      <c r="N7" s="42"/>
      <c r="O7" s="41">
        <f>IFERROR(O5/N5,0)</f>
        <v>0.5</v>
      </c>
      <c r="P7" s="43"/>
      <c r="Q7" s="41">
        <f>IFERROR(Q5/P5,0)</f>
        <v>1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1133.76</v>
      </c>
      <c r="D17" s="62"/>
      <c r="E17" s="49">
        <f>SUMIFS(T:T,B:B,B17,D:D,"Y")</f>
        <v>0</v>
      </c>
      <c r="F17" s="50">
        <f>SUMIF(B37:B1137,B17,G37:G1137)</f>
        <v>5</v>
      </c>
      <c r="G17" s="51">
        <f>SUMIF(B37:B1137,B17,H37:H1137)</f>
        <v>4</v>
      </c>
      <c r="H17" s="51">
        <f>SUMIF(B37:B1137,B17,I37:I1137)</f>
        <v>1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1</v>
      </c>
      <c r="L17" s="51">
        <f>SUMIF(B37:B1137,B17,S37:S1137)</f>
        <v>0</v>
      </c>
      <c r="M17" s="51">
        <f>SUMIF(B37:B1137,B17,M37:M1137)</f>
        <v>8</v>
      </c>
      <c r="N17" s="51">
        <f>SUMIF(B37:B1137,B17,N37:N1137)</f>
        <v>2</v>
      </c>
      <c r="O17" s="51">
        <f>SUMIF(B37:B1137,B17,O37:O1137)</f>
        <v>1</v>
      </c>
      <c r="P17" s="51">
        <f>SUMIF(B37:B1137,B17,J37:J1137)</f>
        <v>1</v>
      </c>
      <c r="Q17" s="51">
        <f>SUMIF(B37:B1137,B17,K37:K1137)</f>
        <v>1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1133.76</v>
      </c>
      <c r="F19" s="24">
        <f>IFERROR((G17+R17)/F17,0)</f>
        <v>0.8</v>
      </c>
      <c r="G19" s="24">
        <f>IFERROR(H17/G17,0)</f>
        <v>0.25</v>
      </c>
      <c r="H19" s="23">
        <f>(C17/C19)</f>
        <v>188.96</v>
      </c>
      <c r="I19" s="25"/>
      <c r="J19" s="24">
        <f>IFERROR(J17/I17,0)</f>
        <v>0</v>
      </c>
      <c r="K19" s="25"/>
      <c r="L19" s="24">
        <f>IFERROR(L17/K17,0)</f>
        <v>0</v>
      </c>
      <c r="M19" s="26">
        <f>IFERROR(M17/SUM(G17+R17,0),"")</f>
        <v>2</v>
      </c>
      <c r="N19" s="25"/>
      <c r="O19" s="24">
        <f>IFERROR(O17/N17,0)</f>
        <v>0.5</v>
      </c>
      <c r="P19" s="26"/>
      <c r="Q19" s="24">
        <f>IFERROR(Q17/P17,0)</f>
        <v>1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1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6</v>
      </c>
      <c r="N20" s="11">
        <f>SUMIF(A:A,B20,N:N)</f>
        <v>1</v>
      </c>
      <c r="O20" s="11">
        <f>SUMIF(A:A,B20,O:O)</f>
        <v>0</v>
      </c>
      <c r="P20" s="11">
        <f>SUMIF(A:A,B20,J:J)</f>
        <v>1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>
        <f>IFERROR(M20/SUM(R20+G20,0),"")</f>
        <v>6</v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2532</v>
      </c>
      <c r="D23" s="31"/>
      <c r="E23" s="64">
        <f>SUMIFS(T:T,A:A,B23,D:D,"Y")</f>
        <v>2532</v>
      </c>
      <c r="F23" s="9">
        <f>SUMIF(A:A,B23,G:G)</f>
        <v>1</v>
      </c>
      <c r="G23" s="11">
        <f>SUMIF(A:A,B23,H:H)</f>
        <v>1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3</v>
      </c>
      <c r="N23" s="11">
        <f>SUMIF(A:A,B23,N:N)</f>
        <v>1</v>
      </c>
      <c r="O23" s="11">
        <f>SUMIF(A:A,B23,O:O)</f>
        <v>0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2532</v>
      </c>
      <c r="F25" s="24">
        <f>IFERROR((G23+R23)/F23,0)</f>
        <v>1</v>
      </c>
      <c r="G25" s="24">
        <f>IFERROR(H23/G23,0)</f>
        <v>1</v>
      </c>
      <c r="H25" s="23">
        <f>(C23/C25)</f>
        <v>281.3333333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3</v>
      </c>
      <c r="N25" s="25"/>
      <c r="O25" s="24">
        <f>IFERROR(O23/N23,0)</f>
        <v>0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>
        <v>0.0</v>
      </c>
      <c r="H47" s="103">
        <v>0.0</v>
      </c>
      <c r="I47" s="103">
        <v>0.0</v>
      </c>
      <c r="J47" s="103">
        <v>0.0</v>
      </c>
      <c r="K47" s="103">
        <v>0.0</v>
      </c>
      <c r="L47" s="103">
        <v>0.0</v>
      </c>
      <c r="M47" s="103">
        <v>0.0</v>
      </c>
      <c r="N47" s="103">
        <v>0.0</v>
      </c>
      <c r="O47" s="103">
        <v>0.0</v>
      </c>
      <c r="P47" s="103">
        <v>0.0</v>
      </c>
      <c r="Q47" s="103">
        <v>0.0</v>
      </c>
      <c r="R47" s="103">
        <v>0.0</v>
      </c>
      <c r="S47" s="103">
        <v>0.0</v>
      </c>
      <c r="T47" s="103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>
        <v>0.0</v>
      </c>
      <c r="H48" s="103">
        <v>0.0</v>
      </c>
      <c r="I48" s="103">
        <v>0.0</v>
      </c>
      <c r="J48" s="103">
        <v>0.0</v>
      </c>
      <c r="K48" s="103">
        <v>0.0</v>
      </c>
      <c r="L48" s="103">
        <v>0.0</v>
      </c>
      <c r="M48" s="103">
        <v>0.0</v>
      </c>
      <c r="N48" s="103">
        <v>0.0</v>
      </c>
      <c r="O48" s="103">
        <v>0.0</v>
      </c>
      <c r="P48" s="103">
        <v>0.0</v>
      </c>
      <c r="Q48" s="103">
        <v>0.0</v>
      </c>
      <c r="R48" s="103">
        <v>0.0</v>
      </c>
      <c r="S48" s="103">
        <v>0.0</v>
      </c>
      <c r="T48" s="103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>
        <v>0.0</v>
      </c>
      <c r="H49" s="103">
        <v>0.0</v>
      </c>
      <c r="I49" s="103">
        <v>0.0</v>
      </c>
      <c r="J49" s="103">
        <v>0.0</v>
      </c>
      <c r="K49" s="103">
        <v>0.0</v>
      </c>
      <c r="L49" s="103">
        <v>0.0</v>
      </c>
      <c r="M49" s="103">
        <v>0.0</v>
      </c>
      <c r="N49" s="103">
        <v>0.0</v>
      </c>
      <c r="O49" s="103">
        <v>0.0</v>
      </c>
      <c r="P49" s="103">
        <v>0.0</v>
      </c>
      <c r="Q49" s="103">
        <v>0.0</v>
      </c>
      <c r="R49" s="103">
        <v>0.0</v>
      </c>
      <c r="S49" s="103">
        <v>0.0</v>
      </c>
      <c r="T49" s="103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>
        <v>0.0</v>
      </c>
      <c r="H50" s="103">
        <v>0.0</v>
      </c>
      <c r="I50" s="103">
        <v>0.0</v>
      </c>
      <c r="J50" s="103">
        <v>0.0</v>
      </c>
      <c r="K50" s="103">
        <v>0.0</v>
      </c>
      <c r="L50" s="103">
        <v>0.0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0.0</v>
      </c>
      <c r="S50" s="103">
        <v>0.0</v>
      </c>
      <c r="T50" s="103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79">
        <v>2.0</v>
      </c>
      <c r="H58" s="179">
        <v>2.0</v>
      </c>
      <c r="I58" s="179">
        <v>1.0</v>
      </c>
      <c r="J58" s="179">
        <v>1.0</v>
      </c>
      <c r="K58" s="179">
        <v>1.0</v>
      </c>
      <c r="L58" s="179">
        <v>0.0</v>
      </c>
      <c r="M58" s="179">
        <v>0.0</v>
      </c>
      <c r="N58" s="179">
        <v>1.0</v>
      </c>
      <c r="O58" s="179">
        <v>1.0</v>
      </c>
      <c r="P58" s="179">
        <v>0.0</v>
      </c>
      <c r="Q58" s="179">
        <v>0.0</v>
      </c>
      <c r="R58" s="179">
        <v>0.0</v>
      </c>
      <c r="S58" s="179">
        <v>0.0</v>
      </c>
      <c r="T58" s="179">
        <v>1133.76</v>
      </c>
      <c r="U58" s="104">
        <f t="shared" si="2"/>
        <v>0.5</v>
      </c>
      <c r="V58" s="104">
        <f t="shared" si="3"/>
        <v>1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 t="s">
        <v>53</v>
      </c>
      <c r="F59" s="136" t="s">
        <v>80</v>
      </c>
      <c r="G59" s="179">
        <v>0.0</v>
      </c>
      <c r="H59" s="179">
        <v>0.0</v>
      </c>
      <c r="I59" s="179">
        <v>0.0</v>
      </c>
      <c r="J59" s="179">
        <v>0.0</v>
      </c>
      <c r="K59" s="179">
        <v>0.0</v>
      </c>
      <c r="L59" s="179">
        <v>0.0</v>
      </c>
      <c r="M59" s="179">
        <v>0.0</v>
      </c>
      <c r="N59" s="179">
        <v>0.0</v>
      </c>
      <c r="O59" s="179">
        <v>0.0</v>
      </c>
      <c r="P59" s="179">
        <v>0.0</v>
      </c>
      <c r="Q59" s="179">
        <v>0.0</v>
      </c>
      <c r="R59" s="179">
        <v>0.0</v>
      </c>
      <c r="S59" s="179">
        <v>0.0</v>
      </c>
      <c r="T59" s="179">
        <v>0.0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27" t="s">
        <v>26</v>
      </c>
      <c r="B60" s="113" t="s">
        <v>30</v>
      </c>
      <c r="C60" s="113" t="s">
        <v>81</v>
      </c>
      <c r="D60" s="113" t="s">
        <v>52</v>
      </c>
      <c r="E60" s="113"/>
      <c r="F60" s="113" t="s">
        <v>81</v>
      </c>
      <c r="G60" s="179">
        <v>3.0</v>
      </c>
      <c r="H60" s="179">
        <v>2.0</v>
      </c>
      <c r="I60" s="179">
        <v>0.0</v>
      </c>
      <c r="J60" s="179">
        <v>0.0</v>
      </c>
      <c r="K60" s="179">
        <v>0.0</v>
      </c>
      <c r="L60" s="179">
        <v>0.0</v>
      </c>
      <c r="M60" s="179">
        <v>8.0</v>
      </c>
      <c r="N60" s="179">
        <v>1.0</v>
      </c>
      <c r="O60" s="179">
        <v>0.0</v>
      </c>
      <c r="P60" s="179">
        <v>0.0</v>
      </c>
      <c r="Q60" s="179">
        <v>0.0</v>
      </c>
      <c r="R60" s="179">
        <v>1.0</v>
      </c>
      <c r="S60" s="179">
        <v>0.0</v>
      </c>
      <c r="T60" s="179">
        <v>0.0</v>
      </c>
      <c r="U60" s="104">
        <f t="shared" si="2"/>
        <v>0</v>
      </c>
      <c r="V60" s="104">
        <f t="shared" si="3"/>
        <v>0.6666666667</v>
      </c>
      <c r="W60" s="105"/>
    </row>
    <row r="61" ht="15.0" customHeight="1">
      <c r="A61" s="129" t="s">
        <v>26</v>
      </c>
      <c r="B61" s="117" t="s">
        <v>30</v>
      </c>
      <c r="C61" s="118" t="s">
        <v>81</v>
      </c>
      <c r="D61" s="112"/>
      <c r="E61" s="118"/>
      <c r="F61" s="118" t="s">
        <v>82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37" t="s">
        <v>30</v>
      </c>
      <c r="C62" s="137" t="s">
        <v>83</v>
      </c>
      <c r="D62" s="137" t="s">
        <v>52</v>
      </c>
      <c r="E62" s="137"/>
      <c r="F62" s="137" t="s">
        <v>83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84</v>
      </c>
      <c r="D65" s="141" t="s">
        <v>52</v>
      </c>
      <c r="E65" s="112" t="s">
        <v>85</v>
      </c>
      <c r="F65" s="112" t="s">
        <v>84</v>
      </c>
      <c r="G65" s="179">
        <v>0.0</v>
      </c>
      <c r="H65" s="179">
        <v>0.0</v>
      </c>
      <c r="I65" s="179">
        <v>0.0</v>
      </c>
      <c r="J65" s="179">
        <v>0.0</v>
      </c>
      <c r="K65" s="179">
        <v>0.0</v>
      </c>
      <c r="L65" s="179">
        <v>0.0</v>
      </c>
      <c r="M65" s="179">
        <v>0.0</v>
      </c>
      <c r="N65" s="179">
        <v>0.0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79">
        <v>0.0</v>
      </c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84</v>
      </c>
      <c r="D66" s="144"/>
      <c r="E66" s="118"/>
      <c r="F66" s="118" t="s">
        <v>86</v>
      </c>
      <c r="G66" s="179">
        <v>0.0</v>
      </c>
      <c r="H66" s="179">
        <v>0.0</v>
      </c>
      <c r="I66" s="179">
        <v>0.0</v>
      </c>
      <c r="J66" s="179">
        <v>0.0</v>
      </c>
      <c r="K66" s="179">
        <v>0.0</v>
      </c>
      <c r="L66" s="179">
        <v>0.0</v>
      </c>
      <c r="M66" s="179">
        <v>0.0</v>
      </c>
      <c r="N66" s="179">
        <v>0.0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79">
        <v>0.0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87</v>
      </c>
      <c r="D67" s="145" t="s">
        <v>52</v>
      </c>
      <c r="E67" s="102" t="s">
        <v>55</v>
      </c>
      <c r="F67" s="102" t="s">
        <v>87</v>
      </c>
      <c r="G67" s="179">
        <v>0.0</v>
      </c>
      <c r="H67" s="179">
        <v>1.0</v>
      </c>
      <c r="I67" s="179">
        <v>0.0</v>
      </c>
      <c r="J67" s="179">
        <v>1.0</v>
      </c>
      <c r="K67" s="179">
        <v>0.0</v>
      </c>
      <c r="L67" s="179">
        <v>0.0</v>
      </c>
      <c r="M67" s="179">
        <v>6.0</v>
      </c>
      <c r="N67" s="179">
        <v>1.0</v>
      </c>
      <c r="O67" s="179">
        <v>0.0</v>
      </c>
      <c r="P67" s="179">
        <v>0.0</v>
      </c>
      <c r="Q67" s="179">
        <v>0.0</v>
      </c>
      <c r="R67" s="179">
        <v>0.0</v>
      </c>
      <c r="S67" s="179">
        <v>0.0</v>
      </c>
      <c r="T67" s="179">
        <v>0.0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64</v>
      </c>
      <c r="F68" s="111" t="s">
        <v>88</v>
      </c>
      <c r="G68" s="179">
        <v>0.0</v>
      </c>
      <c r="H68" s="179">
        <v>0.0</v>
      </c>
      <c r="I68" s="179">
        <v>0.0</v>
      </c>
      <c r="J68" s="179">
        <v>0.0</v>
      </c>
      <c r="K68" s="179">
        <v>0.0</v>
      </c>
      <c r="L68" s="179">
        <v>0.0</v>
      </c>
      <c r="M68" s="179">
        <v>0.0</v>
      </c>
      <c r="N68" s="179">
        <v>0.0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87</v>
      </c>
      <c r="D69" s="146"/>
      <c r="E69" s="111" t="s">
        <v>89</v>
      </c>
      <c r="F69" s="111" t="s">
        <v>90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91</v>
      </c>
      <c r="F71" s="138" t="s">
        <v>32</v>
      </c>
      <c r="G71" s="179">
        <v>1.0</v>
      </c>
      <c r="H71" s="179">
        <v>1.0</v>
      </c>
      <c r="I71" s="179">
        <v>1.0</v>
      </c>
      <c r="J71" s="179">
        <v>1.0</v>
      </c>
      <c r="K71" s="179">
        <v>1.0</v>
      </c>
      <c r="L71" s="179">
        <v>0.0</v>
      </c>
      <c r="M71" s="179">
        <v>3.0</v>
      </c>
      <c r="N71" s="179">
        <v>1.0</v>
      </c>
      <c r="O71" s="179">
        <v>0.0</v>
      </c>
      <c r="P71" s="179">
        <v>0.0</v>
      </c>
      <c r="Q71" s="179">
        <v>0.0</v>
      </c>
      <c r="R71" s="179">
        <v>0.0</v>
      </c>
      <c r="S71" s="179">
        <v>0.0</v>
      </c>
      <c r="T71" s="179">
        <v>2532.0</v>
      </c>
      <c r="U71" s="104">
        <f t="shared" ref="U71:U79" si="6">IFERROR(I71/H71,0)</f>
        <v>1</v>
      </c>
      <c r="V71" s="104">
        <f t="shared" ref="V71:V79" si="7">IFERROR(SUM(H71+L71)/G71,0)</f>
        <v>1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91</v>
      </c>
      <c r="F72" s="125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100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102</v>
      </c>
      <c r="D83" s="115" t="s">
        <v>52</v>
      </c>
      <c r="E83" s="112" t="s">
        <v>64</v>
      </c>
      <c r="F83" s="114" t="s">
        <v>102</v>
      </c>
      <c r="G83" s="179">
        <v>0.0</v>
      </c>
      <c r="H83" s="179">
        <v>0.0</v>
      </c>
      <c r="I83" s="179">
        <v>0.0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0.0</v>
      </c>
      <c r="P83" s="179">
        <v>0.0</v>
      </c>
      <c r="Q83" s="179">
        <v>0.0</v>
      </c>
      <c r="R83" s="179">
        <v>0.0</v>
      </c>
      <c r="S83" s="179">
        <v>0.0</v>
      </c>
      <c r="T83" s="179">
        <v>0.0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102</v>
      </c>
      <c r="D84" s="115"/>
      <c r="E84" s="112"/>
      <c r="F84" s="157" t="s">
        <v>103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102</v>
      </c>
      <c r="D85" s="115"/>
      <c r="E85" s="112"/>
      <c r="F85" s="157" t="s">
        <v>104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102</v>
      </c>
      <c r="D86" s="115"/>
      <c r="E86" s="112"/>
      <c r="F86" s="157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106</v>
      </c>
      <c r="D87" s="158" t="s">
        <v>52</v>
      </c>
      <c r="E87" s="132" t="s">
        <v>107</v>
      </c>
      <c r="F87" s="132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106</v>
      </c>
      <c r="D88" s="159"/>
      <c r="E88" s="125" t="s">
        <v>64</v>
      </c>
      <c r="F88" s="125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109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110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111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112</v>
      </c>
      <c r="F94" s="162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117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118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120</v>
      </c>
      <c r="D101" s="167" t="s">
        <v>52</v>
      </c>
      <c r="E101" s="165" t="s">
        <v>107</v>
      </c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120</v>
      </c>
      <c r="D102" s="169"/>
      <c r="E102" s="168" t="s">
        <v>121</v>
      </c>
      <c r="F102" s="168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120</v>
      </c>
      <c r="D103" s="169"/>
      <c r="E103" s="168" t="s">
        <v>123</v>
      </c>
      <c r="F103" s="168" t="s">
        <v>124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120</v>
      </c>
      <c r="D104" s="169"/>
      <c r="E104" s="168"/>
      <c r="F104" s="168" t="s">
        <v>122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120</v>
      </c>
      <c r="D105" s="169"/>
      <c r="E105" s="168"/>
      <c r="F105" s="168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126</v>
      </c>
      <c r="D106" s="160" t="s">
        <v>52</v>
      </c>
      <c r="E106" s="160" t="s">
        <v>127</v>
      </c>
      <c r="F106" s="160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126</v>
      </c>
      <c r="D107" s="164"/>
      <c r="E107" s="163"/>
      <c r="F107" s="163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129</v>
      </c>
      <c r="D110" s="112" t="s">
        <v>52</v>
      </c>
      <c r="E110" s="112"/>
      <c r="F110" s="112" t="s">
        <v>129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3252</v>
      </c>
      <c r="D2" s="10"/>
      <c r="E2" s="11">
        <f t="shared" ref="E2:R2" si="1">SUM(E5,E20,E23,E26,E29,E32)</f>
        <v>0</v>
      </c>
      <c r="F2" s="11">
        <f t="shared" si="1"/>
        <v>2</v>
      </c>
      <c r="G2" s="11">
        <f t="shared" si="1"/>
        <v>1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1</v>
      </c>
      <c r="O2" s="11">
        <f t="shared" si="1"/>
        <v>1</v>
      </c>
      <c r="P2" s="11">
        <f t="shared" si="1"/>
        <v>1</v>
      </c>
      <c r="Q2" s="11">
        <f t="shared" si="1"/>
        <v>1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3252</v>
      </c>
      <c r="F4" s="24">
        <f>IFERROR((G2+R2)/F2,0)</f>
        <v>0.5</v>
      </c>
      <c r="G4" s="24">
        <f>IFERROR(H2/G2,0)</f>
        <v>1</v>
      </c>
      <c r="H4" s="23">
        <f>(C2/C4)</f>
        <v>47.13043478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1</v>
      </c>
      <c r="P4" s="26"/>
      <c r="Q4" s="24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1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1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3252</v>
      </c>
      <c r="D23" s="31"/>
      <c r="E23" s="64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1</v>
      </c>
      <c r="O23" s="11">
        <f>SUMIF(A:A,B23,O:O)</f>
        <v>1</v>
      </c>
      <c r="P23" s="11">
        <f>SUMIF(A:A,B23,J:J)</f>
        <v>1</v>
      </c>
      <c r="Q23" s="11">
        <f>SUMIF(A:A,B23,K:K)</f>
        <v>1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3252</v>
      </c>
      <c r="F25" s="24">
        <f>IFERROR((G23+R23)/F23,0)</f>
        <v>1</v>
      </c>
      <c r="G25" s="24">
        <f>IFERROR(H23/G23,0)</f>
        <v>1</v>
      </c>
      <c r="H25" s="23">
        <f>(C23/C25)</f>
        <v>361.3333333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0</v>
      </c>
      <c r="N25" s="25"/>
      <c r="O25" s="24">
        <f>IFERROR(O23/N23,0)</f>
        <v>1</v>
      </c>
      <c r="P25" s="26"/>
      <c r="Q25" s="24">
        <f>IFERROR(Q23/P23,0)</f>
        <v>1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59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>
        <v>0.0</v>
      </c>
      <c r="H47" s="103">
        <v>0.0</v>
      </c>
      <c r="I47" s="103">
        <v>0.0</v>
      </c>
      <c r="J47" s="103">
        <v>0.0</v>
      </c>
      <c r="K47" s="103">
        <v>0.0</v>
      </c>
      <c r="L47" s="103">
        <v>0.0</v>
      </c>
      <c r="M47" s="103">
        <v>0.0</v>
      </c>
      <c r="N47" s="103">
        <v>0.0</v>
      </c>
      <c r="O47" s="103">
        <v>0.0</v>
      </c>
      <c r="P47" s="103">
        <v>0.0</v>
      </c>
      <c r="Q47" s="103">
        <v>0.0</v>
      </c>
      <c r="R47" s="103">
        <v>0.0</v>
      </c>
      <c r="S47" s="103">
        <v>0.0</v>
      </c>
      <c r="T47" s="103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>
        <v>0.0</v>
      </c>
      <c r="H48" s="103">
        <v>0.0</v>
      </c>
      <c r="I48" s="103">
        <v>0.0</v>
      </c>
      <c r="J48" s="103">
        <v>0.0</v>
      </c>
      <c r="K48" s="103">
        <v>0.0</v>
      </c>
      <c r="L48" s="103">
        <v>0.0</v>
      </c>
      <c r="M48" s="103">
        <v>0.0</v>
      </c>
      <c r="N48" s="103">
        <v>0.0</v>
      </c>
      <c r="O48" s="103">
        <v>0.0</v>
      </c>
      <c r="P48" s="103">
        <v>0.0</v>
      </c>
      <c r="Q48" s="103">
        <v>0.0</v>
      </c>
      <c r="R48" s="103">
        <v>0.0</v>
      </c>
      <c r="S48" s="103">
        <v>0.0</v>
      </c>
      <c r="T48" s="103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>
        <v>0.0</v>
      </c>
      <c r="H49" s="103">
        <v>0.0</v>
      </c>
      <c r="I49" s="103">
        <v>0.0</v>
      </c>
      <c r="J49" s="103">
        <v>0.0</v>
      </c>
      <c r="K49" s="103">
        <v>0.0</v>
      </c>
      <c r="L49" s="103">
        <v>0.0</v>
      </c>
      <c r="M49" s="103">
        <v>0.0</v>
      </c>
      <c r="N49" s="103">
        <v>0.0</v>
      </c>
      <c r="O49" s="103">
        <v>0.0</v>
      </c>
      <c r="P49" s="103">
        <v>0.0</v>
      </c>
      <c r="Q49" s="103">
        <v>0.0</v>
      </c>
      <c r="R49" s="103">
        <v>0.0</v>
      </c>
      <c r="S49" s="103">
        <v>0.0</v>
      </c>
      <c r="T49" s="103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>
        <v>0.0</v>
      </c>
      <c r="H50" s="103">
        <v>0.0</v>
      </c>
      <c r="I50" s="103">
        <v>0.0</v>
      </c>
      <c r="J50" s="103">
        <v>0.0</v>
      </c>
      <c r="K50" s="103">
        <v>0.0</v>
      </c>
      <c r="L50" s="103">
        <v>0.0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0.0</v>
      </c>
      <c r="S50" s="103">
        <v>0.0</v>
      </c>
      <c r="T50" s="103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79">
        <v>0.0</v>
      </c>
      <c r="H58" s="179">
        <v>0.0</v>
      </c>
      <c r="I58" s="179">
        <v>0.0</v>
      </c>
      <c r="J58" s="179">
        <v>0.0</v>
      </c>
      <c r="K58" s="179">
        <v>0.0</v>
      </c>
      <c r="L58" s="179">
        <v>0.0</v>
      </c>
      <c r="M58" s="179">
        <v>0.0</v>
      </c>
      <c r="N58" s="179">
        <v>0.0</v>
      </c>
      <c r="O58" s="179">
        <v>0.0</v>
      </c>
      <c r="P58" s="179">
        <v>0.0</v>
      </c>
      <c r="Q58" s="179">
        <v>0.0</v>
      </c>
      <c r="R58" s="179">
        <v>0.0</v>
      </c>
      <c r="S58" s="179">
        <v>0.0</v>
      </c>
      <c r="T58" s="179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 t="s">
        <v>53</v>
      </c>
      <c r="F59" s="136" t="s">
        <v>80</v>
      </c>
      <c r="G59" s="179">
        <v>0.0</v>
      </c>
      <c r="H59" s="179">
        <v>0.0</v>
      </c>
      <c r="I59" s="179">
        <v>0.0</v>
      </c>
      <c r="J59" s="179">
        <v>0.0</v>
      </c>
      <c r="K59" s="179">
        <v>0.0</v>
      </c>
      <c r="L59" s="179">
        <v>0.0</v>
      </c>
      <c r="M59" s="179">
        <v>0.0</v>
      </c>
      <c r="N59" s="179">
        <v>0.0</v>
      </c>
      <c r="O59" s="179">
        <v>0.0</v>
      </c>
      <c r="P59" s="179">
        <v>0.0</v>
      </c>
      <c r="Q59" s="179">
        <v>0.0</v>
      </c>
      <c r="R59" s="179">
        <v>0.0</v>
      </c>
      <c r="S59" s="179">
        <v>0.0</v>
      </c>
      <c r="T59" s="179">
        <v>0.0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27" t="s">
        <v>26</v>
      </c>
      <c r="B60" s="113" t="s">
        <v>30</v>
      </c>
      <c r="C60" s="113" t="s">
        <v>81</v>
      </c>
      <c r="D60" s="113" t="s">
        <v>52</v>
      </c>
      <c r="E60" s="113"/>
      <c r="F60" s="113" t="s">
        <v>81</v>
      </c>
      <c r="G60" s="179">
        <v>1.0</v>
      </c>
      <c r="H60" s="179">
        <v>0.0</v>
      </c>
      <c r="I60" s="179">
        <v>0.0</v>
      </c>
      <c r="J60" s="179">
        <v>0.0</v>
      </c>
      <c r="K60" s="179">
        <v>0.0</v>
      </c>
      <c r="L60" s="179">
        <v>0.0</v>
      </c>
      <c r="M60" s="179">
        <v>0.0</v>
      </c>
      <c r="N60" s="179">
        <v>0.0</v>
      </c>
      <c r="O60" s="179">
        <v>0.0</v>
      </c>
      <c r="P60" s="179">
        <v>0.0</v>
      </c>
      <c r="Q60" s="179">
        <v>0.0</v>
      </c>
      <c r="R60" s="179">
        <v>0.0</v>
      </c>
      <c r="S60" s="179">
        <v>0.0</v>
      </c>
      <c r="T60" s="179">
        <v>0.0</v>
      </c>
      <c r="U60" s="181">
        <v>0.0</v>
      </c>
      <c r="V60" s="104">
        <f t="shared" si="3"/>
        <v>0</v>
      </c>
      <c r="W60" s="105"/>
    </row>
    <row r="61" ht="15.0" customHeight="1">
      <c r="A61" s="129" t="s">
        <v>26</v>
      </c>
      <c r="B61" s="117" t="s">
        <v>30</v>
      </c>
      <c r="C61" s="118" t="s">
        <v>81</v>
      </c>
      <c r="D61" s="112"/>
      <c r="E61" s="118"/>
      <c r="F61" s="118" t="s">
        <v>82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ref="U61:U62" si="4">IFERROR(I61/H61,0)</f>
        <v>0</v>
      </c>
      <c r="V61" s="104">
        <f t="shared" si="3"/>
        <v>0</v>
      </c>
      <c r="W61" s="105"/>
    </row>
    <row r="62" ht="15.0" customHeight="1">
      <c r="A62" s="131" t="s">
        <v>26</v>
      </c>
      <c r="B62" s="137" t="s">
        <v>30</v>
      </c>
      <c r="C62" s="137" t="s">
        <v>83</v>
      </c>
      <c r="D62" s="137" t="s">
        <v>52</v>
      </c>
      <c r="E62" s="137"/>
      <c r="F62" s="137" t="s">
        <v>83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4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5">IFERROR(I64/H64,0)</f>
        <v>0</v>
      </c>
      <c r="V64" s="104">
        <f t="shared" ref="V64:V69" si="6">IFERROR(SUM(H64+L64)/G64,0)</f>
        <v>0</v>
      </c>
      <c r="W64" s="105"/>
    </row>
    <row r="65" ht="12.75" customHeight="1">
      <c r="A65" s="112" t="s">
        <v>31</v>
      </c>
      <c r="B65" s="112"/>
      <c r="C65" s="112" t="s">
        <v>84</v>
      </c>
      <c r="D65" s="141" t="s">
        <v>52</v>
      </c>
      <c r="E65" s="112" t="s">
        <v>85</v>
      </c>
      <c r="F65" s="112" t="s">
        <v>84</v>
      </c>
      <c r="G65" s="179">
        <v>0.0</v>
      </c>
      <c r="H65" s="179">
        <v>0.0</v>
      </c>
      <c r="I65" s="179">
        <v>0.0</v>
      </c>
      <c r="J65" s="179">
        <v>0.0</v>
      </c>
      <c r="K65" s="179">
        <v>0.0</v>
      </c>
      <c r="L65" s="179">
        <v>0.0</v>
      </c>
      <c r="M65" s="179">
        <v>0.0</v>
      </c>
      <c r="N65" s="179">
        <v>0.0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79">
        <v>0.0</v>
      </c>
      <c r="U65" s="142">
        <f t="shared" si="5"/>
        <v>0</v>
      </c>
      <c r="V65" s="142">
        <f t="shared" si="6"/>
        <v>0</v>
      </c>
      <c r="W65" s="143"/>
    </row>
    <row r="66" ht="12.75" customHeight="1">
      <c r="A66" s="118" t="s">
        <v>31</v>
      </c>
      <c r="B66" s="118"/>
      <c r="C66" s="118" t="s">
        <v>84</v>
      </c>
      <c r="D66" s="144"/>
      <c r="E66" s="118"/>
      <c r="F66" s="118" t="s">
        <v>86</v>
      </c>
      <c r="G66" s="179">
        <v>0.0</v>
      </c>
      <c r="H66" s="179">
        <v>0.0</v>
      </c>
      <c r="I66" s="179">
        <v>0.0</v>
      </c>
      <c r="J66" s="179">
        <v>0.0</v>
      </c>
      <c r="K66" s="179">
        <v>0.0</v>
      </c>
      <c r="L66" s="179">
        <v>0.0</v>
      </c>
      <c r="M66" s="179">
        <v>0.0</v>
      </c>
      <c r="N66" s="179">
        <v>0.0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79">
        <v>0.0</v>
      </c>
      <c r="U66" s="142">
        <f t="shared" si="5"/>
        <v>0</v>
      </c>
      <c r="V66" s="142">
        <f t="shared" si="6"/>
        <v>0</v>
      </c>
      <c r="W66" s="143"/>
    </row>
    <row r="67" ht="12.75" customHeight="1">
      <c r="A67" s="102" t="s">
        <v>31</v>
      </c>
      <c r="B67" s="102"/>
      <c r="C67" s="102" t="s">
        <v>87</v>
      </c>
      <c r="D67" s="145" t="s">
        <v>52</v>
      </c>
      <c r="E67" s="102" t="s">
        <v>55</v>
      </c>
      <c r="F67" s="102" t="s">
        <v>87</v>
      </c>
      <c r="G67" s="179">
        <v>0.0</v>
      </c>
      <c r="H67" s="179">
        <v>0.0</v>
      </c>
      <c r="I67" s="179">
        <v>0.0</v>
      </c>
      <c r="J67" s="179">
        <v>0.0</v>
      </c>
      <c r="K67" s="179">
        <v>0.0</v>
      </c>
      <c r="L67" s="179">
        <v>0.0</v>
      </c>
      <c r="M67" s="179">
        <v>0.0</v>
      </c>
      <c r="N67" s="179">
        <v>0.0</v>
      </c>
      <c r="O67" s="179">
        <v>0.0</v>
      </c>
      <c r="P67" s="179">
        <v>0.0</v>
      </c>
      <c r="Q67" s="179">
        <v>0.0</v>
      </c>
      <c r="R67" s="179">
        <v>0.0</v>
      </c>
      <c r="S67" s="179">
        <v>0.0</v>
      </c>
      <c r="T67" s="179">
        <v>0.0</v>
      </c>
      <c r="U67" s="142">
        <f t="shared" si="5"/>
        <v>0</v>
      </c>
      <c r="V67" s="142">
        <f t="shared" si="6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64</v>
      </c>
      <c r="F68" s="111" t="s">
        <v>88</v>
      </c>
      <c r="G68" s="179">
        <v>0.0</v>
      </c>
      <c r="H68" s="179">
        <v>0.0</v>
      </c>
      <c r="I68" s="179">
        <v>0.0</v>
      </c>
      <c r="J68" s="179">
        <v>0.0</v>
      </c>
      <c r="K68" s="179">
        <v>0.0</v>
      </c>
      <c r="L68" s="179">
        <v>0.0</v>
      </c>
      <c r="M68" s="179">
        <v>0.0</v>
      </c>
      <c r="N68" s="179">
        <v>0.0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si="5"/>
        <v>0</v>
      </c>
      <c r="V68" s="142">
        <f t="shared" si="6"/>
        <v>0</v>
      </c>
      <c r="W68" s="143"/>
    </row>
    <row r="69" ht="12.75" customHeight="1">
      <c r="A69" s="111" t="s">
        <v>31</v>
      </c>
      <c r="B69" s="111"/>
      <c r="C69" s="111" t="s">
        <v>87</v>
      </c>
      <c r="D69" s="146"/>
      <c r="E69" s="111" t="s">
        <v>89</v>
      </c>
      <c r="F69" s="111" t="s">
        <v>90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5"/>
        <v>0</v>
      </c>
      <c r="V69" s="142">
        <f t="shared" si="6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91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7">IFERROR(I71/H71,0)</f>
        <v>0</v>
      </c>
      <c r="V71" s="104">
        <f t="shared" ref="V71:V79" si="8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91</v>
      </c>
      <c r="F72" s="125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7"/>
        <v>0</v>
      </c>
      <c r="V72" s="104">
        <f t="shared" si="8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7"/>
        <v>0</v>
      </c>
      <c r="V73" s="104">
        <f t="shared" si="8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7"/>
        <v>0</v>
      </c>
      <c r="V74" s="104">
        <f t="shared" si="8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7"/>
        <v>0</v>
      </c>
      <c r="V75" s="104">
        <f t="shared" si="8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7"/>
        <v>0</v>
      </c>
      <c r="V76" s="104">
        <f t="shared" si="8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7"/>
        <v>0</v>
      </c>
      <c r="V77" s="104">
        <f t="shared" si="8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7"/>
        <v>0</v>
      </c>
      <c r="V78" s="104">
        <f t="shared" si="8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99</v>
      </c>
      <c r="G79" s="179">
        <v>1.0</v>
      </c>
      <c r="H79" s="179">
        <v>1.0</v>
      </c>
      <c r="I79" s="179">
        <v>1.0</v>
      </c>
      <c r="J79" s="179">
        <v>1.0</v>
      </c>
      <c r="K79" s="179">
        <v>1.0</v>
      </c>
      <c r="L79" s="103"/>
      <c r="M79" s="103"/>
      <c r="N79" s="179">
        <v>1.0</v>
      </c>
      <c r="O79" s="179">
        <v>1.0</v>
      </c>
      <c r="P79" s="103"/>
      <c r="Q79" s="103"/>
      <c r="R79" s="103"/>
      <c r="S79" s="103"/>
      <c r="T79" s="179">
        <v>3252.0</v>
      </c>
      <c r="U79" s="104">
        <f t="shared" si="7"/>
        <v>1</v>
      </c>
      <c r="V79" s="104">
        <f t="shared" si="8"/>
        <v>1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100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9">IFERROR(I81/H81,0)</f>
        <v>0</v>
      </c>
      <c r="V81" s="104">
        <f t="shared" ref="V81:V88" si="10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9"/>
        <v>0</v>
      </c>
      <c r="V82" s="104">
        <f t="shared" si="10"/>
        <v>0</v>
      </c>
      <c r="W82" s="105"/>
    </row>
    <row r="83" ht="12.75" customHeight="1">
      <c r="A83" s="154" t="s">
        <v>33</v>
      </c>
      <c r="B83" s="154"/>
      <c r="C83" s="114" t="s">
        <v>102</v>
      </c>
      <c r="D83" s="115" t="s">
        <v>52</v>
      </c>
      <c r="E83" s="112" t="s">
        <v>64</v>
      </c>
      <c r="F83" s="114" t="s">
        <v>102</v>
      </c>
      <c r="G83" s="179">
        <v>0.0</v>
      </c>
      <c r="H83" s="179">
        <v>0.0</v>
      </c>
      <c r="I83" s="179">
        <v>0.0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0.0</v>
      </c>
      <c r="P83" s="179">
        <v>0.0</v>
      </c>
      <c r="Q83" s="179">
        <v>0.0</v>
      </c>
      <c r="R83" s="179">
        <v>0.0</v>
      </c>
      <c r="S83" s="179">
        <v>0.0</v>
      </c>
      <c r="T83" s="179">
        <v>0.0</v>
      </c>
      <c r="U83" s="104">
        <f t="shared" si="9"/>
        <v>0</v>
      </c>
      <c r="V83" s="104">
        <f t="shared" si="10"/>
        <v>0</v>
      </c>
      <c r="W83" s="105"/>
    </row>
    <row r="84" ht="12.75" customHeight="1">
      <c r="A84" s="155" t="s">
        <v>33</v>
      </c>
      <c r="B84" s="156"/>
      <c r="C84" s="155" t="s">
        <v>102</v>
      </c>
      <c r="D84" s="115"/>
      <c r="E84" s="112"/>
      <c r="F84" s="157" t="s">
        <v>103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9"/>
        <v>0</v>
      </c>
      <c r="V84" s="104">
        <f t="shared" si="10"/>
        <v>0</v>
      </c>
      <c r="W84" s="105"/>
    </row>
    <row r="85" ht="12.75" customHeight="1">
      <c r="A85" s="155" t="s">
        <v>33</v>
      </c>
      <c r="B85" s="156"/>
      <c r="C85" s="155" t="s">
        <v>102</v>
      </c>
      <c r="D85" s="115"/>
      <c r="E85" s="112"/>
      <c r="F85" s="157" t="s">
        <v>104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9"/>
        <v>0</v>
      </c>
      <c r="V85" s="104">
        <f t="shared" si="10"/>
        <v>0</v>
      </c>
      <c r="W85" s="105"/>
    </row>
    <row r="86" ht="12.75" customHeight="1">
      <c r="A86" s="155" t="s">
        <v>33</v>
      </c>
      <c r="B86" s="156"/>
      <c r="C86" s="155" t="s">
        <v>102</v>
      </c>
      <c r="D86" s="115"/>
      <c r="E86" s="112"/>
      <c r="F86" s="157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9"/>
        <v>0</v>
      </c>
      <c r="V86" s="104">
        <f t="shared" si="10"/>
        <v>0</v>
      </c>
      <c r="W86" s="105"/>
    </row>
    <row r="87" ht="12.75" customHeight="1">
      <c r="A87" s="151" t="s">
        <v>33</v>
      </c>
      <c r="B87" s="151"/>
      <c r="C87" s="132" t="s">
        <v>106</v>
      </c>
      <c r="D87" s="158" t="s">
        <v>52</v>
      </c>
      <c r="E87" s="132" t="s">
        <v>107</v>
      </c>
      <c r="F87" s="132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9"/>
        <v>0</v>
      </c>
      <c r="V87" s="104">
        <f t="shared" si="10"/>
        <v>0</v>
      </c>
      <c r="W87" s="105"/>
    </row>
    <row r="88" ht="12.75" customHeight="1">
      <c r="A88" s="153" t="s">
        <v>33</v>
      </c>
      <c r="B88" s="153"/>
      <c r="C88" s="125" t="s">
        <v>106</v>
      </c>
      <c r="D88" s="159"/>
      <c r="E88" s="125" t="s">
        <v>64</v>
      </c>
      <c r="F88" s="125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9"/>
        <v>0</v>
      </c>
      <c r="V88" s="104">
        <f t="shared" si="10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1">IFERROR(I90/H90,0)</f>
        <v>0</v>
      </c>
      <c r="V90" s="104">
        <f t="shared" ref="V90:V107" si="12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109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1"/>
        <v>0</v>
      </c>
      <c r="V91" s="104">
        <f t="shared" si="12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110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1"/>
        <v>0</v>
      </c>
      <c r="V92" s="104">
        <f t="shared" si="12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111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1"/>
        <v>0</v>
      </c>
      <c r="V93" s="104">
        <f t="shared" si="12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112</v>
      </c>
      <c r="F94" s="162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1"/>
        <v>0</v>
      </c>
      <c r="V94" s="104">
        <f t="shared" si="12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1"/>
        <v>0</v>
      </c>
      <c r="V95" s="104">
        <f t="shared" si="12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1"/>
        <v>0</v>
      </c>
      <c r="V96" s="104">
        <f t="shared" si="12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1"/>
        <v>0</v>
      </c>
      <c r="V97" s="104">
        <f t="shared" si="12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117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1"/>
        <v>0</v>
      </c>
      <c r="V98" s="104">
        <f t="shared" si="12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118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1"/>
        <v>0</v>
      </c>
      <c r="V99" s="104">
        <f t="shared" si="12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1"/>
        <v>0</v>
      </c>
      <c r="V100" s="104">
        <f t="shared" si="12"/>
        <v>0</v>
      </c>
      <c r="W100" s="105"/>
    </row>
    <row r="101" ht="13.5" customHeight="1">
      <c r="A101" s="165" t="s">
        <v>34</v>
      </c>
      <c r="B101" s="166"/>
      <c r="C101" s="165" t="s">
        <v>120</v>
      </c>
      <c r="D101" s="167" t="s">
        <v>52</v>
      </c>
      <c r="E101" s="165" t="s">
        <v>107</v>
      </c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1"/>
        <v>0</v>
      </c>
      <c r="V101" s="104">
        <f t="shared" si="12"/>
        <v>0</v>
      </c>
      <c r="W101" s="105"/>
    </row>
    <row r="102" ht="13.5" customHeight="1">
      <c r="A102" s="168" t="s">
        <v>34</v>
      </c>
      <c r="B102" s="169"/>
      <c r="C102" s="168" t="s">
        <v>120</v>
      </c>
      <c r="D102" s="169"/>
      <c r="E102" s="168" t="s">
        <v>121</v>
      </c>
      <c r="F102" s="168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1"/>
        <v>0</v>
      </c>
      <c r="V102" s="104">
        <f t="shared" si="12"/>
        <v>0</v>
      </c>
      <c r="W102" s="105"/>
    </row>
    <row r="103" ht="13.5" customHeight="1">
      <c r="A103" s="168" t="s">
        <v>34</v>
      </c>
      <c r="B103" s="169"/>
      <c r="C103" s="168" t="s">
        <v>120</v>
      </c>
      <c r="D103" s="169"/>
      <c r="E103" s="168" t="s">
        <v>123</v>
      </c>
      <c r="F103" s="168" t="s">
        <v>124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1"/>
        <v>0</v>
      </c>
      <c r="V103" s="104">
        <f t="shared" si="12"/>
        <v>0</v>
      </c>
      <c r="W103" s="105"/>
    </row>
    <row r="104" ht="13.5" customHeight="1">
      <c r="A104" s="168" t="s">
        <v>34</v>
      </c>
      <c r="B104" s="169"/>
      <c r="C104" s="168" t="s">
        <v>120</v>
      </c>
      <c r="D104" s="169"/>
      <c r="E104" s="168"/>
      <c r="F104" s="168" t="s">
        <v>122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1"/>
        <v>0</v>
      </c>
      <c r="V104" s="104">
        <f t="shared" si="12"/>
        <v>0</v>
      </c>
      <c r="W104" s="105"/>
    </row>
    <row r="105" ht="13.5" customHeight="1">
      <c r="A105" s="168" t="s">
        <v>34</v>
      </c>
      <c r="B105" s="169"/>
      <c r="C105" s="168" t="s">
        <v>120</v>
      </c>
      <c r="D105" s="169"/>
      <c r="E105" s="168"/>
      <c r="F105" s="168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1"/>
        <v>0</v>
      </c>
      <c r="V105" s="104">
        <f t="shared" si="12"/>
        <v>0</v>
      </c>
      <c r="W105" s="105"/>
    </row>
    <row r="106" ht="13.5" customHeight="1">
      <c r="A106" s="160" t="s">
        <v>34</v>
      </c>
      <c r="B106" s="170"/>
      <c r="C106" s="160" t="s">
        <v>126</v>
      </c>
      <c r="D106" s="160" t="s">
        <v>52</v>
      </c>
      <c r="E106" s="160" t="s">
        <v>127</v>
      </c>
      <c r="F106" s="160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1"/>
        <v>0</v>
      </c>
      <c r="V106" s="104">
        <f t="shared" si="12"/>
        <v>0</v>
      </c>
      <c r="W106" s="105"/>
    </row>
    <row r="107" ht="13.5" customHeight="1">
      <c r="A107" s="163" t="s">
        <v>34</v>
      </c>
      <c r="B107" s="164"/>
      <c r="C107" s="163" t="s">
        <v>126</v>
      </c>
      <c r="D107" s="164"/>
      <c r="E107" s="163"/>
      <c r="F107" s="163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1"/>
        <v>0</v>
      </c>
      <c r="V107" s="104">
        <f t="shared" si="12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3">IFERROR(I109/H109,0)</f>
        <v>0</v>
      </c>
      <c r="V109" s="142">
        <f t="shared" ref="V109:V110" si="14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129</v>
      </c>
      <c r="D110" s="112" t="s">
        <v>52</v>
      </c>
      <c r="E110" s="112"/>
      <c r="F110" s="112" t="s">
        <v>129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3"/>
        <v>0</v>
      </c>
      <c r="V110" s="142">
        <f t="shared" si="14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10893</v>
      </c>
      <c r="D2" s="10"/>
      <c r="E2" s="11">
        <f t="shared" ref="E2:R2" si="1">SUM(E5,E20,E23,E26,E29,E32)</f>
        <v>0</v>
      </c>
      <c r="F2" s="11">
        <f t="shared" si="1"/>
        <v>40</v>
      </c>
      <c r="G2" s="11">
        <f t="shared" si="1"/>
        <v>23</v>
      </c>
      <c r="H2" s="11">
        <f t="shared" si="1"/>
        <v>8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64</v>
      </c>
      <c r="N2" s="11">
        <f t="shared" si="1"/>
        <v>17</v>
      </c>
      <c r="O2" s="11">
        <f t="shared" si="1"/>
        <v>5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1361.625</v>
      </c>
      <c r="F4" s="24">
        <f>IFERROR((G2+R2)/F2,0)</f>
        <v>0.575</v>
      </c>
      <c r="G4" s="24">
        <f>IFERROR(H2/G2,0)</f>
        <v>0.347826087</v>
      </c>
      <c r="H4" s="23">
        <f>(C2/C4)</f>
        <v>157.8695652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2.782608696</v>
      </c>
      <c r="N4" s="25"/>
      <c r="O4" s="24">
        <f>IFERROR(O2/N2,0)</f>
        <v>0.2941176471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10893</v>
      </c>
      <c r="D29" s="68"/>
      <c r="E29" s="69">
        <f>SUMIFS(T:T,A:A,B29,D:D,"Y")</f>
        <v>0</v>
      </c>
      <c r="F29" s="70">
        <f>SUMIF(A:A,B29,G:G)</f>
        <v>40</v>
      </c>
      <c r="G29" s="71">
        <f>SUMIF(A:A,B29,H:H)</f>
        <v>23</v>
      </c>
      <c r="H29" s="71">
        <f>SUMIF(A:A,B29,I:I)</f>
        <v>8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64</v>
      </c>
      <c r="N29" s="71">
        <f>SUMIF(A:A,B29,N:N)</f>
        <v>17</v>
      </c>
      <c r="O29" s="71">
        <f>SUMIF(A:A,B29,O:O)</f>
        <v>5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1361.625</v>
      </c>
      <c r="F31" s="82">
        <f>IFERROR((G29+R29)/F29,0)</f>
        <v>0.575</v>
      </c>
      <c r="G31" s="82">
        <f>IFERROR(H29/G29,0)</f>
        <v>0.347826087</v>
      </c>
      <c r="H31" s="81">
        <f>(C29/C31)</f>
        <v>605.1666667</v>
      </c>
      <c r="I31" s="83"/>
      <c r="J31" s="82">
        <f>IFERROR(J29/I29,0)</f>
        <v>0</v>
      </c>
      <c r="K31" s="83"/>
      <c r="L31" s="82">
        <f>IFERROR(L29/K29,0)</f>
        <v>0</v>
      </c>
      <c r="M31" s="84">
        <f>IFERROR(M29/SUM(R29+G29,0),"")</f>
        <v>2.782608696</v>
      </c>
      <c r="N31" s="83"/>
      <c r="O31" s="82">
        <f>IFERROR(O29/N29,0)</f>
        <v>0.2941176471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>
        <v>0.0</v>
      </c>
      <c r="H47" s="103">
        <v>0.0</v>
      </c>
      <c r="I47" s="103">
        <v>0.0</v>
      </c>
      <c r="J47" s="103">
        <v>0.0</v>
      </c>
      <c r="K47" s="103">
        <v>0.0</v>
      </c>
      <c r="L47" s="103">
        <v>0.0</v>
      </c>
      <c r="M47" s="103">
        <v>0.0</v>
      </c>
      <c r="N47" s="103">
        <v>0.0</v>
      </c>
      <c r="O47" s="103">
        <v>0.0</v>
      </c>
      <c r="P47" s="103">
        <v>0.0</v>
      </c>
      <c r="Q47" s="103">
        <v>0.0</v>
      </c>
      <c r="R47" s="103">
        <v>0.0</v>
      </c>
      <c r="S47" s="103">
        <v>0.0</v>
      </c>
      <c r="T47" s="103">
        <v>0.0</v>
      </c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>
        <v>0.0</v>
      </c>
      <c r="H48" s="103">
        <v>0.0</v>
      </c>
      <c r="I48" s="103">
        <v>0.0</v>
      </c>
      <c r="J48" s="103">
        <v>0.0</v>
      </c>
      <c r="K48" s="103">
        <v>0.0</v>
      </c>
      <c r="L48" s="103">
        <v>0.0</v>
      </c>
      <c r="M48" s="103">
        <v>0.0</v>
      </c>
      <c r="N48" s="103">
        <v>0.0</v>
      </c>
      <c r="O48" s="103">
        <v>0.0</v>
      </c>
      <c r="P48" s="103">
        <v>0.0</v>
      </c>
      <c r="Q48" s="103">
        <v>0.0</v>
      </c>
      <c r="R48" s="103">
        <v>0.0</v>
      </c>
      <c r="S48" s="103">
        <v>0.0</v>
      </c>
      <c r="T48" s="103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>
        <v>0.0</v>
      </c>
      <c r="H49" s="103">
        <v>0.0</v>
      </c>
      <c r="I49" s="103">
        <v>0.0</v>
      </c>
      <c r="J49" s="103">
        <v>0.0</v>
      </c>
      <c r="K49" s="103">
        <v>0.0</v>
      </c>
      <c r="L49" s="103">
        <v>0.0</v>
      </c>
      <c r="M49" s="103">
        <v>0.0</v>
      </c>
      <c r="N49" s="103">
        <v>0.0</v>
      </c>
      <c r="O49" s="103">
        <v>0.0</v>
      </c>
      <c r="P49" s="103">
        <v>0.0</v>
      </c>
      <c r="Q49" s="103">
        <v>0.0</v>
      </c>
      <c r="R49" s="103">
        <v>0.0</v>
      </c>
      <c r="S49" s="103">
        <v>0.0</v>
      </c>
      <c r="T49" s="103">
        <v>0.0</v>
      </c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>
        <v>0.0</v>
      </c>
      <c r="H50" s="103">
        <v>0.0</v>
      </c>
      <c r="I50" s="103">
        <v>0.0</v>
      </c>
      <c r="J50" s="103">
        <v>0.0</v>
      </c>
      <c r="K50" s="103">
        <v>0.0</v>
      </c>
      <c r="L50" s="103">
        <v>0.0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0.0</v>
      </c>
      <c r="S50" s="103">
        <v>0.0</v>
      </c>
      <c r="T50" s="103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79">
        <v>0.0</v>
      </c>
      <c r="H58" s="179">
        <v>0.0</v>
      </c>
      <c r="I58" s="179">
        <v>0.0</v>
      </c>
      <c r="J58" s="179">
        <v>0.0</v>
      </c>
      <c r="K58" s="179">
        <v>0.0</v>
      </c>
      <c r="L58" s="179">
        <v>0.0</v>
      </c>
      <c r="M58" s="179">
        <v>0.0</v>
      </c>
      <c r="N58" s="179">
        <v>0.0</v>
      </c>
      <c r="O58" s="179">
        <v>0.0</v>
      </c>
      <c r="P58" s="179">
        <v>0.0</v>
      </c>
      <c r="Q58" s="179">
        <v>0.0</v>
      </c>
      <c r="R58" s="179">
        <v>0.0</v>
      </c>
      <c r="S58" s="179">
        <v>0.0</v>
      </c>
      <c r="T58" s="179">
        <v>0.0</v>
      </c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 t="s">
        <v>53</v>
      </c>
      <c r="F59" s="136" t="s">
        <v>80</v>
      </c>
      <c r="G59" s="179">
        <v>0.0</v>
      </c>
      <c r="H59" s="179">
        <v>0.0</v>
      </c>
      <c r="I59" s="179">
        <v>0.0</v>
      </c>
      <c r="J59" s="179">
        <v>0.0</v>
      </c>
      <c r="K59" s="179">
        <v>0.0</v>
      </c>
      <c r="L59" s="179">
        <v>0.0</v>
      </c>
      <c r="M59" s="179">
        <v>0.0</v>
      </c>
      <c r="N59" s="179">
        <v>0.0</v>
      </c>
      <c r="O59" s="179">
        <v>0.0</v>
      </c>
      <c r="P59" s="179">
        <v>0.0</v>
      </c>
      <c r="Q59" s="179">
        <v>0.0</v>
      </c>
      <c r="R59" s="179">
        <v>0.0</v>
      </c>
      <c r="S59" s="179">
        <v>0.0</v>
      </c>
      <c r="T59" s="179">
        <v>0.0</v>
      </c>
      <c r="U59" s="104">
        <f t="shared" si="2"/>
        <v>0</v>
      </c>
      <c r="V59" s="104">
        <f t="shared" si="3"/>
        <v>0</v>
      </c>
      <c r="W59" s="105"/>
    </row>
    <row r="60" ht="15.0" customHeight="1">
      <c r="A60" s="127" t="s">
        <v>26</v>
      </c>
      <c r="B60" s="113" t="s">
        <v>30</v>
      </c>
      <c r="C60" s="113" t="s">
        <v>81</v>
      </c>
      <c r="D60" s="113" t="s">
        <v>52</v>
      </c>
      <c r="E60" s="113"/>
      <c r="F60" s="113" t="s">
        <v>81</v>
      </c>
      <c r="G60" s="179">
        <v>0.0</v>
      </c>
      <c r="H60" s="179">
        <v>0.0</v>
      </c>
      <c r="I60" s="179">
        <v>0.0</v>
      </c>
      <c r="J60" s="179">
        <v>0.0</v>
      </c>
      <c r="K60" s="179">
        <v>0.0</v>
      </c>
      <c r="L60" s="179">
        <v>0.0</v>
      </c>
      <c r="M60" s="179">
        <v>0.0</v>
      </c>
      <c r="N60" s="179">
        <v>0.0</v>
      </c>
      <c r="O60" s="179">
        <v>0.0</v>
      </c>
      <c r="P60" s="179">
        <v>0.0</v>
      </c>
      <c r="Q60" s="179">
        <v>0.0</v>
      </c>
      <c r="R60" s="179">
        <v>0.0</v>
      </c>
      <c r="S60" s="179">
        <v>0.0</v>
      </c>
      <c r="T60" s="179">
        <v>0.0</v>
      </c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7" t="s">
        <v>30</v>
      </c>
      <c r="C61" s="118" t="s">
        <v>81</v>
      </c>
      <c r="D61" s="112"/>
      <c r="E61" s="118"/>
      <c r="F61" s="118" t="s">
        <v>82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37" t="s">
        <v>30</v>
      </c>
      <c r="C62" s="137" t="s">
        <v>83</v>
      </c>
      <c r="D62" s="137" t="s">
        <v>52</v>
      </c>
      <c r="E62" s="137"/>
      <c r="F62" s="137" t="s">
        <v>83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84</v>
      </c>
      <c r="D65" s="141" t="s">
        <v>52</v>
      </c>
      <c r="E65" s="112" t="s">
        <v>85</v>
      </c>
      <c r="F65" s="112" t="s">
        <v>84</v>
      </c>
      <c r="G65" s="179">
        <v>0.0</v>
      </c>
      <c r="H65" s="179">
        <v>0.0</v>
      </c>
      <c r="I65" s="179">
        <v>0.0</v>
      </c>
      <c r="J65" s="179">
        <v>0.0</v>
      </c>
      <c r="K65" s="179">
        <v>0.0</v>
      </c>
      <c r="L65" s="179">
        <v>0.0</v>
      </c>
      <c r="M65" s="179">
        <v>0.0</v>
      </c>
      <c r="N65" s="179">
        <v>0.0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79">
        <v>0.0</v>
      </c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84</v>
      </c>
      <c r="D66" s="144"/>
      <c r="E66" s="118"/>
      <c r="F66" s="118" t="s">
        <v>86</v>
      </c>
      <c r="G66" s="179">
        <v>0.0</v>
      </c>
      <c r="H66" s="179">
        <v>0.0</v>
      </c>
      <c r="I66" s="179">
        <v>0.0</v>
      </c>
      <c r="J66" s="179">
        <v>0.0</v>
      </c>
      <c r="K66" s="179">
        <v>0.0</v>
      </c>
      <c r="L66" s="179">
        <v>0.0</v>
      </c>
      <c r="M66" s="179">
        <v>0.0</v>
      </c>
      <c r="N66" s="179">
        <v>0.0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79">
        <v>0.0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87</v>
      </c>
      <c r="D67" s="145" t="s">
        <v>52</v>
      </c>
      <c r="E67" s="102" t="s">
        <v>55</v>
      </c>
      <c r="F67" s="102" t="s">
        <v>87</v>
      </c>
      <c r="G67" s="179">
        <v>0.0</v>
      </c>
      <c r="H67" s="179">
        <v>0.0</v>
      </c>
      <c r="I67" s="179">
        <v>0.0</v>
      </c>
      <c r="J67" s="179">
        <v>0.0</v>
      </c>
      <c r="K67" s="179">
        <v>0.0</v>
      </c>
      <c r="L67" s="179">
        <v>0.0</v>
      </c>
      <c r="M67" s="179">
        <v>0.0</v>
      </c>
      <c r="N67" s="179">
        <v>0.0</v>
      </c>
      <c r="O67" s="179">
        <v>0.0</v>
      </c>
      <c r="P67" s="179">
        <v>0.0</v>
      </c>
      <c r="Q67" s="179">
        <v>0.0</v>
      </c>
      <c r="R67" s="179">
        <v>0.0</v>
      </c>
      <c r="S67" s="179">
        <v>0.0</v>
      </c>
      <c r="T67" s="179">
        <v>0.0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64</v>
      </c>
      <c r="F68" s="111" t="s">
        <v>88</v>
      </c>
      <c r="G68" s="179">
        <v>0.0</v>
      </c>
      <c r="H68" s="179">
        <v>0.0</v>
      </c>
      <c r="I68" s="179">
        <v>0.0</v>
      </c>
      <c r="J68" s="179">
        <v>0.0</v>
      </c>
      <c r="K68" s="179">
        <v>0.0</v>
      </c>
      <c r="L68" s="179">
        <v>0.0</v>
      </c>
      <c r="M68" s="179">
        <v>0.0</v>
      </c>
      <c r="N68" s="179">
        <v>0.0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87</v>
      </c>
      <c r="D69" s="146"/>
      <c r="E69" s="111" t="s">
        <v>89</v>
      </c>
      <c r="F69" s="111" t="s">
        <v>90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91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91</v>
      </c>
      <c r="F72" s="125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100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102</v>
      </c>
      <c r="D83" s="115" t="s">
        <v>52</v>
      </c>
      <c r="E83" s="112" t="s">
        <v>64</v>
      </c>
      <c r="F83" s="114" t="s">
        <v>102</v>
      </c>
      <c r="G83" s="179">
        <v>0.0</v>
      </c>
      <c r="H83" s="179">
        <v>0.0</v>
      </c>
      <c r="I83" s="179">
        <v>0.0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0.0</v>
      </c>
      <c r="P83" s="179">
        <v>0.0</v>
      </c>
      <c r="Q83" s="179">
        <v>0.0</v>
      </c>
      <c r="R83" s="179">
        <v>0.0</v>
      </c>
      <c r="S83" s="179">
        <v>0.0</v>
      </c>
      <c r="T83" s="179">
        <v>0.0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102</v>
      </c>
      <c r="D84" s="115"/>
      <c r="E84" s="112"/>
      <c r="F84" s="157" t="s">
        <v>103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102</v>
      </c>
      <c r="D85" s="115"/>
      <c r="E85" s="112"/>
      <c r="F85" s="157" t="s">
        <v>104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102</v>
      </c>
      <c r="D86" s="115"/>
      <c r="E86" s="112"/>
      <c r="F86" s="157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106</v>
      </c>
      <c r="D87" s="158" t="s">
        <v>52</v>
      </c>
      <c r="E87" s="132" t="s">
        <v>107</v>
      </c>
      <c r="F87" s="132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106</v>
      </c>
      <c r="D88" s="159"/>
      <c r="E88" s="125" t="s">
        <v>64</v>
      </c>
      <c r="F88" s="125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109</v>
      </c>
      <c r="G91" s="179">
        <v>15.0</v>
      </c>
      <c r="H91" s="179">
        <v>15.0</v>
      </c>
      <c r="I91" s="179">
        <v>8.0</v>
      </c>
      <c r="J91" s="103"/>
      <c r="K91" s="103"/>
      <c r="L91" s="103"/>
      <c r="M91" s="179">
        <v>55.0</v>
      </c>
      <c r="N91" s="179">
        <v>13.0</v>
      </c>
      <c r="O91" s="179">
        <v>5.0</v>
      </c>
      <c r="P91" s="103"/>
      <c r="Q91" s="103"/>
      <c r="R91" s="103"/>
      <c r="S91" s="103"/>
      <c r="T91" s="179">
        <v>10893.0</v>
      </c>
      <c r="U91" s="104">
        <f t="shared" si="10"/>
        <v>0.5333333333</v>
      </c>
      <c r="V91" s="104">
        <f t="shared" si="11"/>
        <v>1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110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111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112</v>
      </c>
      <c r="F94" s="162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117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118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120</v>
      </c>
      <c r="D101" s="167" t="s">
        <v>52</v>
      </c>
      <c r="E101" s="165" t="s">
        <v>107</v>
      </c>
      <c r="F101" s="165" t="s">
        <v>120</v>
      </c>
      <c r="G101" s="179">
        <v>14.0</v>
      </c>
      <c r="H101" s="179">
        <v>4.0</v>
      </c>
      <c r="I101" s="103"/>
      <c r="J101" s="103"/>
      <c r="K101" s="103"/>
      <c r="L101" s="103"/>
      <c r="M101" s="179">
        <v>3.0</v>
      </c>
      <c r="N101" s="179">
        <v>2.0</v>
      </c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0.2857142857</v>
      </c>
      <c r="W101" s="105"/>
    </row>
    <row r="102" ht="13.5" customHeight="1">
      <c r="A102" s="168" t="s">
        <v>34</v>
      </c>
      <c r="B102" s="169"/>
      <c r="C102" s="168" t="s">
        <v>120</v>
      </c>
      <c r="D102" s="169"/>
      <c r="E102" s="168" t="s">
        <v>121</v>
      </c>
      <c r="F102" s="168" t="s">
        <v>122</v>
      </c>
      <c r="G102" s="179">
        <v>3.0</v>
      </c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120</v>
      </c>
      <c r="D103" s="169"/>
      <c r="E103" s="168" t="s">
        <v>123</v>
      </c>
      <c r="F103" s="168" t="s">
        <v>124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120</v>
      </c>
      <c r="D104" s="169"/>
      <c r="E104" s="168"/>
      <c r="F104" s="168" t="s">
        <v>122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120</v>
      </c>
      <c r="D105" s="169"/>
      <c r="E105" s="168"/>
      <c r="F105" s="168" t="s">
        <v>125</v>
      </c>
      <c r="G105" s="179">
        <v>8.0</v>
      </c>
      <c r="H105" s="179">
        <v>4.0</v>
      </c>
      <c r="I105" s="103"/>
      <c r="J105" s="103"/>
      <c r="K105" s="103"/>
      <c r="L105" s="103"/>
      <c r="M105" s="179">
        <v>6.0</v>
      </c>
      <c r="N105" s="179">
        <v>2.0</v>
      </c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0.5</v>
      </c>
      <c r="W105" s="105"/>
    </row>
    <row r="106" ht="13.5" customHeight="1">
      <c r="A106" s="160" t="s">
        <v>34</v>
      </c>
      <c r="B106" s="170"/>
      <c r="C106" s="160" t="s">
        <v>126</v>
      </c>
      <c r="D106" s="160" t="s">
        <v>52</v>
      </c>
      <c r="E106" s="160" t="s">
        <v>127</v>
      </c>
      <c r="F106" s="160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126</v>
      </c>
      <c r="D107" s="164"/>
      <c r="E107" s="163"/>
      <c r="F107" s="163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129</v>
      </c>
      <c r="D110" s="112" t="s">
        <v>52</v>
      </c>
      <c r="E110" s="112"/>
      <c r="F110" s="112" t="s">
        <v>129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1530</v>
      </c>
      <c r="D2" s="10"/>
      <c r="E2" s="11">
        <f t="shared" ref="E2:R2" si="1">SUM(E5,E20,E23,E26,E29,E32)</f>
        <v>297</v>
      </c>
      <c r="F2" s="11">
        <f t="shared" si="1"/>
        <v>6</v>
      </c>
      <c r="G2" s="11">
        <f t="shared" si="1"/>
        <v>3</v>
      </c>
      <c r="H2" s="11">
        <f t="shared" si="1"/>
        <v>2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2</v>
      </c>
      <c r="N2" s="11">
        <f t="shared" si="1"/>
        <v>3</v>
      </c>
      <c r="O2" s="11">
        <f t="shared" si="1"/>
        <v>2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765</v>
      </c>
      <c r="F4" s="24">
        <f>IFERROR((G2+R2)/F2,0)</f>
        <v>0.5</v>
      </c>
      <c r="G4" s="24">
        <f>IFERROR(H2/G2,0)</f>
        <v>0.6666666667</v>
      </c>
      <c r="H4" s="23">
        <f>(C2/C4)</f>
        <v>22.17391304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0.6666666667</v>
      </c>
      <c r="N4" s="25"/>
      <c r="O4" s="24">
        <f>IFERROR(O2/N2,0)</f>
        <v>0.6666666667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1530</v>
      </c>
      <c r="D5" s="31"/>
      <c r="E5" s="32">
        <f>SUMIFS(T:T,A:A,B5,D:D,"Y")</f>
        <v>297</v>
      </c>
      <c r="F5" s="11">
        <f>SUMIF(A:A,B5,G:G)</f>
        <v>6</v>
      </c>
      <c r="G5" s="11">
        <f>SUMIF(A:A,B5,H:H)</f>
        <v>3</v>
      </c>
      <c r="H5" s="11">
        <f>SUMIF(A:A,B5,I:I)</f>
        <v>2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2</v>
      </c>
      <c r="N5" s="11">
        <f>SUMIF(A:A,B5,N:N)</f>
        <v>3</v>
      </c>
      <c r="O5" s="11">
        <f>SUMIF(A:A,B5,O:O)</f>
        <v>2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765</v>
      </c>
      <c r="F7" s="41">
        <f>IFERROR((G5+R5)/F5,0)</f>
        <v>0.5</v>
      </c>
      <c r="G7" s="41">
        <f>IFERROR(H5/G5,0)</f>
        <v>0.6666666667</v>
      </c>
      <c r="H7" s="40">
        <f>(C5/C7)</f>
        <v>58.84615385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0.6666666667</v>
      </c>
      <c r="N7" s="42"/>
      <c r="O7" s="41">
        <f>IFERROR(O5/N5,0)</f>
        <v>0.6666666667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1530</v>
      </c>
      <c r="D11" s="48"/>
      <c r="E11" s="49">
        <f>SUMIFS(T:T,B:B,B11,D:D,"Y")</f>
        <v>297</v>
      </c>
      <c r="F11" s="50">
        <f>SUMIF(B38:B1137,B11,G38:G1137)</f>
        <v>6</v>
      </c>
      <c r="G11" s="51">
        <f>SUMIF(B38:B1137,B11,H38:H1137)</f>
        <v>3</v>
      </c>
      <c r="H11" s="51">
        <f>SUMIF(B38:B1137,B11,I38:I1137)</f>
        <v>2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2</v>
      </c>
      <c r="N11" s="51">
        <f>SUMIF(B38:B1137,B11,N38:N1137)</f>
        <v>3</v>
      </c>
      <c r="O11" s="51">
        <f>SUMIF(B38:B1137,B11,O38:O1137)</f>
        <v>2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765</v>
      </c>
      <c r="F13" s="24">
        <f>IFERROR((G11+R11)/F11,0)</f>
        <v>0.5</v>
      </c>
      <c r="G13" s="24">
        <f>IFERROR(H11/G11,0)</f>
        <v>0.6666666667</v>
      </c>
      <c r="H13" s="23">
        <f>(C11/C13)</f>
        <v>218.5714286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0.6666666667</v>
      </c>
      <c r="N13" s="25"/>
      <c r="O13" s="24">
        <f>IFERROR(O11/N11,0)</f>
        <v>0.6666666667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79">
        <v>3.0</v>
      </c>
      <c r="H46" s="179">
        <v>1.0</v>
      </c>
      <c r="I46" s="179">
        <v>1.0</v>
      </c>
      <c r="J46" s="179">
        <v>0.0</v>
      </c>
      <c r="K46" s="179">
        <v>0.0</v>
      </c>
      <c r="L46" s="179">
        <v>0.0</v>
      </c>
      <c r="M46" s="179">
        <v>0.0</v>
      </c>
      <c r="N46" s="179">
        <v>1.0</v>
      </c>
      <c r="O46" s="179">
        <v>1.0</v>
      </c>
      <c r="P46" s="179">
        <v>0.0</v>
      </c>
      <c r="Q46" s="179">
        <v>0.0</v>
      </c>
      <c r="R46" s="179">
        <v>0.0</v>
      </c>
      <c r="S46" s="179">
        <v>0.0</v>
      </c>
      <c r="T46" s="179">
        <v>297.0</v>
      </c>
      <c r="U46" s="104">
        <f t="shared" si="2"/>
        <v>1</v>
      </c>
      <c r="V46" s="104">
        <f t="shared" si="3"/>
        <v>0.3333333333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79">
        <v>1.0</v>
      </c>
      <c r="H47" s="179">
        <v>1.0</v>
      </c>
      <c r="I47" s="179">
        <v>1.0</v>
      </c>
      <c r="J47" s="103"/>
      <c r="K47" s="103"/>
      <c r="L47" s="103"/>
      <c r="M47" s="103"/>
      <c r="N47" s="179">
        <v>1.0</v>
      </c>
      <c r="O47" s="179">
        <v>1.0</v>
      </c>
      <c r="P47" s="103"/>
      <c r="Q47" s="103"/>
      <c r="R47" s="103"/>
      <c r="S47" s="103"/>
      <c r="T47" s="179">
        <v>1233.0</v>
      </c>
      <c r="U47" s="104">
        <f t="shared" si="2"/>
        <v>1</v>
      </c>
      <c r="V47" s="104">
        <f t="shared" si="3"/>
        <v>1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79">
        <v>0.0</v>
      </c>
      <c r="H48" s="179">
        <v>0.0</v>
      </c>
      <c r="I48" s="179">
        <v>0.0</v>
      </c>
      <c r="J48" s="179">
        <v>0.0</v>
      </c>
      <c r="K48" s="179">
        <v>0.0</v>
      </c>
      <c r="L48" s="179">
        <v>0.0</v>
      </c>
      <c r="M48" s="179">
        <v>0.0</v>
      </c>
      <c r="N48" s="179">
        <v>0.0</v>
      </c>
      <c r="O48" s="179">
        <v>0.0</v>
      </c>
      <c r="P48" s="179">
        <v>0.0</v>
      </c>
      <c r="Q48" s="179">
        <v>0.0</v>
      </c>
      <c r="R48" s="179">
        <v>0.0</v>
      </c>
      <c r="S48" s="179">
        <v>0.0</v>
      </c>
      <c r="T48" s="179">
        <v>0.0</v>
      </c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79">
        <v>2.0</v>
      </c>
      <c r="H49" s="179">
        <v>1.0</v>
      </c>
      <c r="I49" s="179">
        <v>0.0</v>
      </c>
      <c r="J49" s="179">
        <v>0.0</v>
      </c>
      <c r="K49" s="179">
        <v>0.0</v>
      </c>
      <c r="L49" s="179">
        <v>0.0</v>
      </c>
      <c r="M49" s="179">
        <v>2.0</v>
      </c>
      <c r="N49" s="179">
        <v>1.0</v>
      </c>
      <c r="O49" s="179">
        <v>0.0</v>
      </c>
      <c r="P49" s="179">
        <v>0.0</v>
      </c>
      <c r="Q49" s="179">
        <v>0.0</v>
      </c>
      <c r="R49" s="179">
        <v>0.0</v>
      </c>
      <c r="S49" s="179">
        <v>0.0</v>
      </c>
      <c r="T49" s="179">
        <v>0.0</v>
      </c>
      <c r="U49" s="104">
        <f t="shared" si="2"/>
        <v>0</v>
      </c>
      <c r="V49" s="104">
        <f t="shared" si="3"/>
        <v>0.5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>
        <v>0.0</v>
      </c>
      <c r="H50" s="103">
        <v>0.0</v>
      </c>
      <c r="I50" s="103">
        <v>0.0</v>
      </c>
      <c r="J50" s="103">
        <v>0.0</v>
      </c>
      <c r="K50" s="103">
        <v>0.0</v>
      </c>
      <c r="L50" s="103">
        <v>0.0</v>
      </c>
      <c r="M50" s="103">
        <v>0.0</v>
      </c>
      <c r="N50" s="103">
        <v>0.0</v>
      </c>
      <c r="O50" s="103">
        <v>0.0</v>
      </c>
      <c r="P50" s="103">
        <v>0.0</v>
      </c>
      <c r="Q50" s="103">
        <v>0.0</v>
      </c>
      <c r="R50" s="103">
        <v>0.0</v>
      </c>
      <c r="S50" s="103">
        <v>0.0</v>
      </c>
      <c r="T50" s="103">
        <v>0.0</v>
      </c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>
        <v>0.0</v>
      </c>
      <c r="H51" s="103">
        <v>0.0</v>
      </c>
      <c r="I51" s="103">
        <v>0.0</v>
      </c>
      <c r="J51" s="103">
        <v>0.0</v>
      </c>
      <c r="K51" s="103">
        <v>0.0</v>
      </c>
      <c r="L51" s="103">
        <v>0.0</v>
      </c>
      <c r="M51" s="103">
        <v>0.0</v>
      </c>
      <c r="N51" s="103">
        <v>0.0</v>
      </c>
      <c r="O51" s="103">
        <v>0.0</v>
      </c>
      <c r="P51" s="103">
        <v>0.0</v>
      </c>
      <c r="Q51" s="103">
        <v>0.0</v>
      </c>
      <c r="R51" s="103">
        <v>0.0</v>
      </c>
      <c r="S51" s="103">
        <v>0.0</v>
      </c>
      <c r="T51" s="103">
        <v>0.0</v>
      </c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>
        <v>0.0</v>
      </c>
      <c r="H52" s="103">
        <v>0.0</v>
      </c>
      <c r="I52" s="103">
        <v>0.0</v>
      </c>
      <c r="J52" s="103">
        <v>0.0</v>
      </c>
      <c r="K52" s="103">
        <v>0.0</v>
      </c>
      <c r="L52" s="103">
        <v>0.0</v>
      </c>
      <c r="M52" s="103">
        <v>0.0</v>
      </c>
      <c r="N52" s="103">
        <v>0.0</v>
      </c>
      <c r="O52" s="103">
        <v>0.0</v>
      </c>
      <c r="P52" s="103">
        <v>0.0</v>
      </c>
      <c r="Q52" s="103">
        <v>0.0</v>
      </c>
      <c r="R52" s="103">
        <v>0.0</v>
      </c>
      <c r="S52" s="103">
        <v>0.0</v>
      </c>
      <c r="T52" s="103">
        <v>0.0</v>
      </c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 t="s">
        <v>53</v>
      </c>
      <c r="F59" s="136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7" t="s">
        <v>26</v>
      </c>
      <c r="B60" s="113" t="s">
        <v>30</v>
      </c>
      <c r="C60" s="113" t="s">
        <v>81</v>
      </c>
      <c r="D60" s="113" t="s">
        <v>52</v>
      </c>
      <c r="E60" s="113"/>
      <c r="F60" s="113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7" t="s">
        <v>30</v>
      </c>
      <c r="C61" s="118" t="s">
        <v>81</v>
      </c>
      <c r="D61" s="112"/>
      <c r="E61" s="118"/>
      <c r="F61" s="118" t="s">
        <v>82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37" t="s">
        <v>30</v>
      </c>
      <c r="C62" s="137" t="s">
        <v>83</v>
      </c>
      <c r="D62" s="137" t="s">
        <v>52</v>
      </c>
      <c r="E62" s="137"/>
      <c r="F62" s="137" t="s">
        <v>83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84</v>
      </c>
      <c r="D65" s="141" t="s">
        <v>52</v>
      </c>
      <c r="E65" s="112" t="s">
        <v>85</v>
      </c>
      <c r="F65" s="112" t="s">
        <v>84</v>
      </c>
      <c r="G65" s="179">
        <v>0.0</v>
      </c>
      <c r="H65" s="179">
        <v>0.0</v>
      </c>
      <c r="I65" s="179">
        <v>0.0</v>
      </c>
      <c r="J65" s="179">
        <v>0.0</v>
      </c>
      <c r="K65" s="179">
        <v>0.0</v>
      </c>
      <c r="L65" s="179">
        <v>0.0</v>
      </c>
      <c r="M65" s="179">
        <v>0.0</v>
      </c>
      <c r="N65" s="179">
        <v>0.0</v>
      </c>
      <c r="O65" s="179">
        <v>0.0</v>
      </c>
      <c r="P65" s="179">
        <v>0.0</v>
      </c>
      <c r="Q65" s="179">
        <v>0.0</v>
      </c>
      <c r="R65" s="179">
        <v>0.0</v>
      </c>
      <c r="S65" s="179">
        <v>0.0</v>
      </c>
      <c r="T65" s="179">
        <v>0.0</v>
      </c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84</v>
      </c>
      <c r="D66" s="144"/>
      <c r="E66" s="118"/>
      <c r="F66" s="118" t="s">
        <v>86</v>
      </c>
      <c r="G66" s="179">
        <v>0.0</v>
      </c>
      <c r="H66" s="179">
        <v>0.0</v>
      </c>
      <c r="I66" s="179">
        <v>0.0</v>
      </c>
      <c r="J66" s="179">
        <v>0.0</v>
      </c>
      <c r="K66" s="179">
        <v>0.0</v>
      </c>
      <c r="L66" s="179">
        <v>0.0</v>
      </c>
      <c r="M66" s="179">
        <v>0.0</v>
      </c>
      <c r="N66" s="179">
        <v>0.0</v>
      </c>
      <c r="O66" s="179">
        <v>0.0</v>
      </c>
      <c r="P66" s="179">
        <v>0.0</v>
      </c>
      <c r="Q66" s="179">
        <v>0.0</v>
      </c>
      <c r="R66" s="179">
        <v>0.0</v>
      </c>
      <c r="S66" s="179">
        <v>0.0</v>
      </c>
      <c r="T66" s="179">
        <v>0.0</v>
      </c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87</v>
      </c>
      <c r="D67" s="145" t="s">
        <v>52</v>
      </c>
      <c r="E67" s="102" t="s">
        <v>55</v>
      </c>
      <c r="F67" s="102" t="s">
        <v>87</v>
      </c>
      <c r="G67" s="179">
        <v>0.0</v>
      </c>
      <c r="H67" s="179">
        <v>0.0</v>
      </c>
      <c r="I67" s="179">
        <v>0.0</v>
      </c>
      <c r="J67" s="179">
        <v>0.0</v>
      </c>
      <c r="K67" s="179">
        <v>0.0</v>
      </c>
      <c r="L67" s="179">
        <v>0.0</v>
      </c>
      <c r="M67" s="179">
        <v>0.0</v>
      </c>
      <c r="N67" s="179">
        <v>0.0</v>
      </c>
      <c r="O67" s="179">
        <v>0.0</v>
      </c>
      <c r="P67" s="179">
        <v>0.0</v>
      </c>
      <c r="Q67" s="179">
        <v>0.0</v>
      </c>
      <c r="R67" s="179">
        <v>0.0</v>
      </c>
      <c r="S67" s="179">
        <v>0.0</v>
      </c>
      <c r="T67" s="179">
        <v>0.0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64</v>
      </c>
      <c r="F68" s="111" t="s">
        <v>88</v>
      </c>
      <c r="G68" s="179">
        <v>0.0</v>
      </c>
      <c r="H68" s="179">
        <v>0.0</v>
      </c>
      <c r="I68" s="179">
        <v>0.0</v>
      </c>
      <c r="J68" s="179">
        <v>0.0</v>
      </c>
      <c r="K68" s="179">
        <v>0.0</v>
      </c>
      <c r="L68" s="179">
        <v>0.0</v>
      </c>
      <c r="M68" s="179">
        <v>0.0</v>
      </c>
      <c r="N68" s="179">
        <v>0.0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87</v>
      </c>
      <c r="D69" s="146"/>
      <c r="E69" s="111" t="s">
        <v>89</v>
      </c>
      <c r="F69" s="111" t="s">
        <v>90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91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91</v>
      </c>
      <c r="F72" s="125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100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102</v>
      </c>
      <c r="D83" s="115" t="s">
        <v>52</v>
      </c>
      <c r="E83" s="112" t="s">
        <v>64</v>
      </c>
      <c r="F83" s="114" t="s">
        <v>102</v>
      </c>
      <c r="G83" s="179">
        <v>0.0</v>
      </c>
      <c r="H83" s="179">
        <v>0.0</v>
      </c>
      <c r="I83" s="179">
        <v>0.0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0.0</v>
      </c>
      <c r="P83" s="179">
        <v>0.0</v>
      </c>
      <c r="Q83" s="179">
        <v>0.0</v>
      </c>
      <c r="R83" s="179">
        <v>0.0</v>
      </c>
      <c r="S83" s="179">
        <v>0.0</v>
      </c>
      <c r="T83" s="179">
        <v>0.0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102</v>
      </c>
      <c r="D84" s="115"/>
      <c r="E84" s="112"/>
      <c r="F84" s="157" t="s">
        <v>103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102</v>
      </c>
      <c r="D85" s="115"/>
      <c r="E85" s="112"/>
      <c r="F85" s="157" t="s">
        <v>104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102</v>
      </c>
      <c r="D86" s="115"/>
      <c r="E86" s="112"/>
      <c r="F86" s="157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106</v>
      </c>
      <c r="D87" s="158" t="s">
        <v>52</v>
      </c>
      <c r="E87" s="132" t="s">
        <v>107</v>
      </c>
      <c r="F87" s="132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106</v>
      </c>
      <c r="D88" s="159"/>
      <c r="E88" s="125" t="s">
        <v>64</v>
      </c>
      <c r="F88" s="125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109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110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111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112</v>
      </c>
      <c r="F94" s="162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117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118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120</v>
      </c>
      <c r="D101" s="167" t="s">
        <v>52</v>
      </c>
      <c r="E101" s="165" t="s">
        <v>107</v>
      </c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120</v>
      </c>
      <c r="D102" s="169"/>
      <c r="E102" s="168" t="s">
        <v>121</v>
      </c>
      <c r="F102" s="168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120</v>
      </c>
      <c r="D103" s="169"/>
      <c r="E103" s="168" t="s">
        <v>123</v>
      </c>
      <c r="F103" s="168" t="s">
        <v>124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120</v>
      </c>
      <c r="D104" s="169"/>
      <c r="E104" s="168"/>
      <c r="F104" s="168" t="s">
        <v>122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120</v>
      </c>
      <c r="D105" s="169"/>
      <c r="E105" s="168"/>
      <c r="F105" s="168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126</v>
      </c>
      <c r="D106" s="160" t="s">
        <v>52</v>
      </c>
      <c r="E106" s="160" t="s">
        <v>127</v>
      </c>
      <c r="F106" s="160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126</v>
      </c>
      <c r="D107" s="164"/>
      <c r="E107" s="163"/>
      <c r="F107" s="163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129</v>
      </c>
      <c r="D110" s="112" t="s">
        <v>52</v>
      </c>
      <c r="E110" s="112"/>
      <c r="F110" s="112" t="s">
        <v>129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 t="s">
        <v>53</v>
      </c>
      <c r="F59" s="136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7" t="s">
        <v>26</v>
      </c>
      <c r="B60" s="113" t="s">
        <v>30</v>
      </c>
      <c r="C60" s="113" t="s">
        <v>81</v>
      </c>
      <c r="D60" s="113" t="s">
        <v>52</v>
      </c>
      <c r="E60" s="113"/>
      <c r="F60" s="113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7" t="s">
        <v>30</v>
      </c>
      <c r="C61" s="118" t="s">
        <v>81</v>
      </c>
      <c r="D61" s="112"/>
      <c r="E61" s="118"/>
      <c r="F61" s="118" t="s">
        <v>82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37" t="s">
        <v>30</v>
      </c>
      <c r="C62" s="137" t="s">
        <v>83</v>
      </c>
      <c r="D62" s="137" t="s">
        <v>52</v>
      </c>
      <c r="E62" s="137"/>
      <c r="F62" s="137" t="s">
        <v>83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84</v>
      </c>
      <c r="D65" s="141" t="s">
        <v>52</v>
      </c>
      <c r="E65" s="112" t="s">
        <v>85</v>
      </c>
      <c r="F65" s="112" t="s">
        <v>84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84</v>
      </c>
      <c r="D66" s="144"/>
      <c r="E66" s="118"/>
      <c r="F66" s="118" t="s">
        <v>86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87</v>
      </c>
      <c r="D67" s="145" t="s">
        <v>52</v>
      </c>
      <c r="E67" s="102" t="s">
        <v>55</v>
      </c>
      <c r="F67" s="102" t="s">
        <v>87</v>
      </c>
      <c r="G67" s="179">
        <v>0.0</v>
      </c>
      <c r="H67" s="179">
        <v>0.0</v>
      </c>
      <c r="I67" s="179">
        <v>0.0</v>
      </c>
      <c r="J67" s="179">
        <v>0.0</v>
      </c>
      <c r="K67" s="179">
        <v>0.0</v>
      </c>
      <c r="L67" s="179">
        <v>0.0</v>
      </c>
      <c r="M67" s="179">
        <v>0.0</v>
      </c>
      <c r="N67" s="179">
        <v>0.0</v>
      </c>
      <c r="O67" s="179">
        <v>0.0</v>
      </c>
      <c r="P67" s="179">
        <v>0.0</v>
      </c>
      <c r="Q67" s="179">
        <v>0.0</v>
      </c>
      <c r="R67" s="179">
        <v>0.0</v>
      </c>
      <c r="S67" s="179">
        <v>0.0</v>
      </c>
      <c r="T67" s="179">
        <v>0.0</v>
      </c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64</v>
      </c>
      <c r="F68" s="111" t="s">
        <v>88</v>
      </c>
      <c r="G68" s="179">
        <v>0.0</v>
      </c>
      <c r="H68" s="179">
        <v>0.0</v>
      </c>
      <c r="I68" s="179">
        <v>0.0</v>
      </c>
      <c r="J68" s="179">
        <v>0.0</v>
      </c>
      <c r="K68" s="179">
        <v>0.0</v>
      </c>
      <c r="L68" s="179">
        <v>0.0</v>
      </c>
      <c r="M68" s="179">
        <v>0.0</v>
      </c>
      <c r="N68" s="179">
        <v>0.0</v>
      </c>
      <c r="O68" s="179">
        <v>0.0</v>
      </c>
      <c r="P68" s="179">
        <v>0.0</v>
      </c>
      <c r="Q68" s="179">
        <v>0.0</v>
      </c>
      <c r="R68" s="179">
        <v>0.0</v>
      </c>
      <c r="S68" s="179">
        <v>0.0</v>
      </c>
      <c r="T68" s="179">
        <v>0.0</v>
      </c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87</v>
      </c>
      <c r="D69" s="146"/>
      <c r="E69" s="111" t="s">
        <v>89</v>
      </c>
      <c r="F69" s="111" t="s">
        <v>90</v>
      </c>
      <c r="G69" s="179" t="s">
        <v>130</v>
      </c>
      <c r="H69" s="179" t="s">
        <v>130</v>
      </c>
      <c r="I69" s="179" t="s">
        <v>130</v>
      </c>
      <c r="J69" s="179" t="s">
        <v>130</v>
      </c>
      <c r="K69" s="179" t="s">
        <v>130</v>
      </c>
      <c r="L69" s="179" t="s">
        <v>130</v>
      </c>
      <c r="M69" s="179" t="s">
        <v>130</v>
      </c>
      <c r="N69" s="179" t="s">
        <v>130</v>
      </c>
      <c r="O69" s="179" t="s">
        <v>130</v>
      </c>
      <c r="P69" s="179" t="s">
        <v>130</v>
      </c>
      <c r="Q69" s="179" t="s">
        <v>130</v>
      </c>
      <c r="R69" s="179" t="s">
        <v>130</v>
      </c>
      <c r="S69" s="179" t="s">
        <v>130</v>
      </c>
      <c r="T69" s="179">
        <v>0.0</v>
      </c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91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91</v>
      </c>
      <c r="F72" s="125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100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102</v>
      </c>
      <c r="D83" s="115" t="s">
        <v>52</v>
      </c>
      <c r="E83" s="112" t="s">
        <v>64</v>
      </c>
      <c r="F83" s="114" t="s">
        <v>102</v>
      </c>
      <c r="G83" s="179">
        <v>0.0</v>
      </c>
      <c r="H83" s="179">
        <v>0.0</v>
      </c>
      <c r="I83" s="179">
        <v>0.0</v>
      </c>
      <c r="J83" s="179">
        <v>0.0</v>
      </c>
      <c r="K83" s="179">
        <v>0.0</v>
      </c>
      <c r="L83" s="179">
        <v>0.0</v>
      </c>
      <c r="M83" s="179">
        <v>0.0</v>
      </c>
      <c r="N83" s="179">
        <v>0.0</v>
      </c>
      <c r="O83" s="179">
        <v>0.0</v>
      </c>
      <c r="P83" s="179">
        <v>0.0</v>
      </c>
      <c r="Q83" s="179">
        <v>0.0</v>
      </c>
      <c r="R83" s="179">
        <v>0.0</v>
      </c>
      <c r="S83" s="179">
        <v>0.0</v>
      </c>
      <c r="T83" s="179">
        <v>0.0</v>
      </c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102</v>
      </c>
      <c r="D84" s="115"/>
      <c r="E84" s="112"/>
      <c r="F84" s="157" t="s">
        <v>103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102</v>
      </c>
      <c r="D85" s="115"/>
      <c r="E85" s="112"/>
      <c r="F85" s="157" t="s">
        <v>104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102</v>
      </c>
      <c r="D86" s="115"/>
      <c r="E86" s="112"/>
      <c r="F86" s="157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106</v>
      </c>
      <c r="D87" s="158" t="s">
        <v>52</v>
      </c>
      <c r="E87" s="132" t="s">
        <v>107</v>
      </c>
      <c r="F87" s="132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106</v>
      </c>
      <c r="D88" s="159"/>
      <c r="E88" s="125" t="s">
        <v>64</v>
      </c>
      <c r="F88" s="125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109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110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111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112</v>
      </c>
      <c r="F94" s="162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117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118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120</v>
      </c>
      <c r="D101" s="167" t="s">
        <v>52</v>
      </c>
      <c r="E101" s="165" t="s">
        <v>107</v>
      </c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120</v>
      </c>
      <c r="D102" s="169"/>
      <c r="E102" s="168" t="s">
        <v>121</v>
      </c>
      <c r="F102" s="168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120</v>
      </c>
      <c r="D103" s="169"/>
      <c r="E103" s="168" t="s">
        <v>123</v>
      </c>
      <c r="F103" s="168" t="s">
        <v>124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120</v>
      </c>
      <c r="D104" s="169"/>
      <c r="E104" s="168"/>
      <c r="F104" s="168" t="s">
        <v>122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120</v>
      </c>
      <c r="D105" s="169"/>
      <c r="E105" s="168"/>
      <c r="F105" s="168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126</v>
      </c>
      <c r="D106" s="160" t="s">
        <v>52</v>
      </c>
      <c r="E106" s="160" t="s">
        <v>127</v>
      </c>
      <c r="F106" s="160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126</v>
      </c>
      <c r="D107" s="164"/>
      <c r="E107" s="163"/>
      <c r="F107" s="163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129</v>
      </c>
      <c r="D110" s="112" t="s">
        <v>52</v>
      </c>
      <c r="E110" s="112"/>
      <c r="F110" s="112" t="s">
        <v>129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1551</v>
      </c>
      <c r="D2" s="10"/>
      <c r="E2" s="11">
        <f t="shared" ref="E2:R2" si="1">SUM(E5,E20,E23,E26,E29,E32)</f>
        <v>0</v>
      </c>
      <c r="F2" s="11">
        <f t="shared" si="1"/>
        <v>12</v>
      </c>
      <c r="G2" s="11">
        <f t="shared" si="1"/>
        <v>9</v>
      </c>
      <c r="H2" s="11">
        <f t="shared" si="1"/>
        <v>3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32</v>
      </c>
      <c r="N2" s="11">
        <f t="shared" si="1"/>
        <v>8</v>
      </c>
      <c r="O2" s="11">
        <f t="shared" si="1"/>
        <v>3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517</v>
      </c>
      <c r="F4" s="24">
        <f>IFERROR((G2+R2)/F2,0)</f>
        <v>0.75</v>
      </c>
      <c r="G4" s="24">
        <f>IFERROR(H2/G2,0)</f>
        <v>0.3333333333</v>
      </c>
      <c r="H4" s="23">
        <f>(C2/C4)</f>
        <v>22.47826087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3.555555556</v>
      </c>
      <c r="N4" s="25"/>
      <c r="O4" s="24">
        <f>IFERROR(O2/N2,0)</f>
        <v>0.375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1551</v>
      </c>
      <c r="D29" s="68"/>
      <c r="E29" s="69">
        <f>SUMIFS(T:T,A:A,B29,D:D,"Y")</f>
        <v>0</v>
      </c>
      <c r="F29" s="70">
        <f>SUMIF(A:A,B29,G:G)</f>
        <v>12</v>
      </c>
      <c r="G29" s="71">
        <f>SUMIF(A:A,B29,H:H)</f>
        <v>9</v>
      </c>
      <c r="H29" s="71">
        <f>SUMIF(A:A,B29,I:I)</f>
        <v>3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32</v>
      </c>
      <c r="N29" s="71">
        <f>SUMIF(A:A,B29,N:N)</f>
        <v>8</v>
      </c>
      <c r="O29" s="71">
        <f>SUMIF(A:A,B29,O:O)</f>
        <v>3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517</v>
      </c>
      <c r="F31" s="82">
        <f>IFERROR((G29+R29)/F29,0)</f>
        <v>0.75</v>
      </c>
      <c r="G31" s="82">
        <f>IFERROR(H29/G29,0)</f>
        <v>0.3333333333</v>
      </c>
      <c r="H31" s="81">
        <f>(C29/C31)</f>
        <v>86.16666667</v>
      </c>
      <c r="I31" s="83"/>
      <c r="J31" s="82">
        <f>IFERROR(J29/I29,0)</f>
        <v>0</v>
      </c>
      <c r="K31" s="83"/>
      <c r="L31" s="82">
        <f>IFERROR(L29/K29,0)</f>
        <v>0</v>
      </c>
      <c r="M31" s="84">
        <f>IFERROR(M29/SUM(R29+G29,0),"")</f>
        <v>3.555555556</v>
      </c>
      <c r="N31" s="83"/>
      <c r="O31" s="82">
        <f>IFERROR(O29/N29,0)</f>
        <v>0.375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 t="s">
        <v>53</v>
      </c>
      <c r="F59" s="136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7" t="s">
        <v>26</v>
      </c>
      <c r="B60" s="113" t="s">
        <v>30</v>
      </c>
      <c r="C60" s="113" t="s">
        <v>81</v>
      </c>
      <c r="D60" s="113" t="s">
        <v>52</v>
      </c>
      <c r="E60" s="113"/>
      <c r="F60" s="113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7" t="s">
        <v>30</v>
      </c>
      <c r="C61" s="118" t="s">
        <v>81</v>
      </c>
      <c r="D61" s="112"/>
      <c r="E61" s="118"/>
      <c r="F61" s="118" t="s">
        <v>82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37" t="s">
        <v>30</v>
      </c>
      <c r="C62" s="137" t="s">
        <v>83</v>
      </c>
      <c r="D62" s="137" t="s">
        <v>52</v>
      </c>
      <c r="E62" s="137"/>
      <c r="F62" s="137" t="s">
        <v>83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84</v>
      </c>
      <c r="D65" s="141" t="s">
        <v>52</v>
      </c>
      <c r="E65" s="112" t="s">
        <v>85</v>
      </c>
      <c r="F65" s="112" t="s">
        <v>84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84</v>
      </c>
      <c r="D66" s="144"/>
      <c r="E66" s="118"/>
      <c r="F66" s="118" t="s">
        <v>86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87</v>
      </c>
      <c r="D67" s="145" t="s">
        <v>52</v>
      </c>
      <c r="E67" s="102" t="s">
        <v>55</v>
      </c>
      <c r="F67" s="102" t="s">
        <v>87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64</v>
      </c>
      <c r="F68" s="111" t="s">
        <v>88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87</v>
      </c>
      <c r="D69" s="146"/>
      <c r="E69" s="111" t="s">
        <v>89</v>
      </c>
      <c r="F69" s="111" t="s">
        <v>90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91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91</v>
      </c>
      <c r="F72" s="125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100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102</v>
      </c>
      <c r="D83" s="115" t="s">
        <v>52</v>
      </c>
      <c r="E83" s="112" t="s">
        <v>64</v>
      </c>
      <c r="F83" s="114" t="s">
        <v>102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102</v>
      </c>
      <c r="D84" s="115"/>
      <c r="E84" s="112"/>
      <c r="F84" s="157" t="s">
        <v>103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102</v>
      </c>
      <c r="D85" s="115"/>
      <c r="E85" s="112"/>
      <c r="F85" s="157" t="s">
        <v>104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102</v>
      </c>
      <c r="D86" s="115"/>
      <c r="E86" s="112"/>
      <c r="F86" s="157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106</v>
      </c>
      <c r="D87" s="158" t="s">
        <v>52</v>
      </c>
      <c r="E87" s="132" t="s">
        <v>107</v>
      </c>
      <c r="F87" s="132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106</v>
      </c>
      <c r="D88" s="159"/>
      <c r="E88" s="125" t="s">
        <v>64</v>
      </c>
      <c r="F88" s="125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109</v>
      </c>
      <c r="G91" s="179">
        <v>9.0</v>
      </c>
      <c r="H91" s="179">
        <v>9.0</v>
      </c>
      <c r="I91" s="179">
        <v>3.0</v>
      </c>
      <c r="J91" s="103"/>
      <c r="K91" s="103"/>
      <c r="L91" s="103"/>
      <c r="M91" s="179">
        <v>32.0</v>
      </c>
      <c r="N91" s="179">
        <v>8.0</v>
      </c>
      <c r="O91" s="179">
        <v>3.0</v>
      </c>
      <c r="P91" s="103"/>
      <c r="Q91" s="103"/>
      <c r="R91" s="103"/>
      <c r="S91" s="103"/>
      <c r="T91" s="179">
        <v>1551.0</v>
      </c>
      <c r="U91" s="104">
        <f t="shared" si="10"/>
        <v>0.3333333333</v>
      </c>
      <c r="V91" s="104">
        <f t="shared" si="11"/>
        <v>1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110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111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112</v>
      </c>
      <c r="F94" s="162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117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118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120</v>
      </c>
      <c r="D101" s="167" t="s">
        <v>52</v>
      </c>
      <c r="E101" s="165" t="s">
        <v>107</v>
      </c>
      <c r="F101" s="165" t="s">
        <v>120</v>
      </c>
      <c r="G101" s="179">
        <v>3.0</v>
      </c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120</v>
      </c>
      <c r="D102" s="169"/>
      <c r="E102" s="168" t="s">
        <v>121</v>
      </c>
      <c r="F102" s="168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120</v>
      </c>
      <c r="D103" s="169"/>
      <c r="E103" s="168" t="s">
        <v>123</v>
      </c>
      <c r="F103" s="168" t="s">
        <v>124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120</v>
      </c>
      <c r="D104" s="169"/>
      <c r="E104" s="168"/>
      <c r="F104" s="168" t="s">
        <v>122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120</v>
      </c>
      <c r="D105" s="169"/>
      <c r="E105" s="168"/>
      <c r="F105" s="168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126</v>
      </c>
      <c r="D106" s="160" t="s">
        <v>52</v>
      </c>
      <c r="E106" s="160" t="s">
        <v>127</v>
      </c>
      <c r="F106" s="160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126</v>
      </c>
      <c r="D107" s="164"/>
      <c r="E107" s="163"/>
      <c r="F107" s="163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129</v>
      </c>
      <c r="D110" s="112" t="s">
        <v>52</v>
      </c>
      <c r="E110" s="112"/>
      <c r="F110" s="112" t="s">
        <v>129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SUM(C5,C20,C23,C26,C29,C32)</f>
        <v>0</v>
      </c>
      <c r="D2" s="10"/>
      <c r="E2" s="11">
        <f t="shared" ref="E2:R2" si="1">SUM(E5,E20,E23,E26,E29,E32)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SUM(C7,C25,C22,C28,C31,C34)</f>
        <v>69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26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SUMIF(B38:B1137,B8,G38:G1137)</f>
        <v>0</v>
      </c>
      <c r="G8" s="51">
        <f>SUMIF(B38:B1137,B8,H38:H1137)</f>
        <v>0</v>
      </c>
      <c r="H8" s="51">
        <f>SUMIF(B38:B1137,B8,I38:I1137)</f>
        <v>0</v>
      </c>
      <c r="I8" s="51">
        <f>SUMIF(B38:B1137,B8,P38:P1137)</f>
        <v>0</v>
      </c>
      <c r="J8" s="51">
        <f>SUMIF(B38:B1137,B8,Q38:Q1137)</f>
        <v>0</v>
      </c>
      <c r="K8" s="51">
        <f>SUMIF(B38:B1137,B8,R38:R1137)</f>
        <v>0</v>
      </c>
      <c r="L8" s="51">
        <f>SUMIF(B38:B1137,B8,S38:S1137)</f>
        <v>0</v>
      </c>
      <c r="M8" s="51">
        <f>SUMIF(B38:B1137,B8,M38:M1137)</f>
        <v>0</v>
      </c>
      <c r="N8" s="51">
        <f>SUMIF(B38:B1137,B8,N38:N1137)</f>
        <v>0</v>
      </c>
      <c r="O8" s="51">
        <f>SUMIF(B38:B1137,B8,O38:O1137)</f>
        <v>0</v>
      </c>
      <c r="P8" s="51">
        <f>SUMIF(B38:B1137,B8,J38:J1137)</f>
        <v>0</v>
      </c>
      <c r="Q8" s="51">
        <f>SUMIF(B38:B1137,B8,K38:K1137)</f>
        <v>0</v>
      </c>
      <c r="R8" s="52">
        <f>SUMIF(B38:B1137,B8,L38:L1137)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COUNTIFS(B38:B1137,B8)</f>
        <v>8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1"/>
      <c r="B11" s="59" t="s">
        <v>28</v>
      </c>
      <c r="C11" s="47">
        <f>SUMIF(B:B,B11,T:T)</f>
        <v>0</v>
      </c>
      <c r="D11" s="48"/>
      <c r="E11" s="49">
        <f>SUMIFS(T:T,B:B,B11,D:D,"Y")</f>
        <v>0</v>
      </c>
      <c r="F11" s="50">
        <f>SUMIF(B38:B1137,B11,G38:G1137)</f>
        <v>0</v>
      </c>
      <c r="G11" s="51">
        <f>SUMIF(B38:B1137,B11,H38:H1137)</f>
        <v>0</v>
      </c>
      <c r="H11" s="51">
        <f>SUMIF(B38:B1137,B11,I38:I1137)</f>
        <v>0</v>
      </c>
      <c r="I11" s="51">
        <f>SUMIF(B38:B1137,B11,P38:P1137)</f>
        <v>0</v>
      </c>
      <c r="J11" s="51">
        <f>SUMIF(B38:B1137,B11,Q38:Q1137)</f>
        <v>0</v>
      </c>
      <c r="K11" s="51">
        <f>SUMIF(B38:B1137,B11,R38:R1137)</f>
        <v>0</v>
      </c>
      <c r="L11" s="51">
        <f>SUMIF(B38:B1137,B11,S38:S1137)</f>
        <v>0</v>
      </c>
      <c r="M11" s="51">
        <f>SUMIF(B38:B1137,B11,M38:M1137)</f>
        <v>0</v>
      </c>
      <c r="N11" s="51">
        <f>SUMIF(B38:B1137,B11,N38:N1137)</f>
        <v>0</v>
      </c>
      <c r="O11" s="51">
        <f>SUMIF(B38:B1137,B11,O38:O1137)</f>
        <v>0</v>
      </c>
      <c r="P11" s="51">
        <f>SUMIF(B38:B1137,B11,J38:J1137)</f>
        <v>0</v>
      </c>
      <c r="Q11" s="51">
        <f>SUMIF(B38:B1137,B11,K38:K1137)</f>
        <v>0</v>
      </c>
      <c r="R11" s="52">
        <f>SUMIF(B38:B1137,B11,L38:L1137)</f>
        <v>0</v>
      </c>
      <c r="S11" s="1"/>
      <c r="T11" s="1"/>
      <c r="U11" s="1"/>
      <c r="V11" s="7"/>
      <c r="W11" s="7"/>
    </row>
    <row r="12" ht="12.75" customHeight="1">
      <c r="A12" s="29"/>
      <c r="B12" s="37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COUNTIFS(B38:B1137,B11)</f>
        <v>7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45"/>
      <c r="B14" s="46" t="s">
        <v>29</v>
      </c>
      <c r="C14" s="47">
        <f>SUMIF(B:B,B14,T:T)</f>
        <v>0</v>
      </c>
      <c r="D14" s="48"/>
      <c r="E14" s="49">
        <f>SUMIFS(T:T,B:B,B14,D:D,"Y")</f>
        <v>0</v>
      </c>
      <c r="F14" s="50">
        <f>SUMIF(B39:B1137,B14,G39:G1137)</f>
        <v>0</v>
      </c>
      <c r="G14" s="51">
        <f>SUMIF(B39:B1137,B14,H39:H1137)</f>
        <v>0</v>
      </c>
      <c r="H14" s="51">
        <f>SUMIF(B39:B1137,B14,I39:I1137)</f>
        <v>0</v>
      </c>
      <c r="I14" s="51">
        <f>SUMIF(B39:B1137,B14,P39:P1137)</f>
        <v>0</v>
      </c>
      <c r="J14" s="51">
        <f>SUMIF(B39:B1137,B14,Q39:Q1137)</f>
        <v>0</v>
      </c>
      <c r="K14" s="51">
        <f>SUMIF(B39:B1137,B14,R39:R1137)</f>
        <v>0</v>
      </c>
      <c r="L14" s="51">
        <f>SUMIF(B39:B1137,B14,S39:S1137)</f>
        <v>0</v>
      </c>
      <c r="M14" s="51">
        <f>SUMIF(B39:B1137,B14,M39:M1137)</f>
        <v>0</v>
      </c>
      <c r="N14" s="51">
        <f>SUMIF(B39:B1137,B14,N39:N1137)</f>
        <v>0</v>
      </c>
      <c r="O14" s="51">
        <f>SUMIF(B39:B1137,B14,O39:O1137)</f>
        <v>0</v>
      </c>
      <c r="P14" s="51">
        <f>SUMIF(B39:B1137,B14,J39:J1137)</f>
        <v>0</v>
      </c>
      <c r="Q14" s="51">
        <f>SUMIF(B39:B1137,B14,K39:K1137)</f>
        <v>0</v>
      </c>
      <c r="R14" s="52">
        <f>SUMIF(B39:B1137,B14,L39:L1137)</f>
        <v>0</v>
      </c>
      <c r="S14" s="45"/>
      <c r="T14" s="45"/>
      <c r="U14" s="45"/>
      <c r="V14" s="53"/>
      <c r="W14" s="53"/>
    </row>
    <row r="15" ht="15.0" customHeight="1">
      <c r="A15" s="29"/>
      <c r="B15" s="36"/>
      <c r="C15" s="54" t="s">
        <v>16</v>
      </c>
      <c r="D15" s="55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COUNTIFS(B39:B1137,B14)</f>
        <v>4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IFERROR(M14/SUM(R14+G14,0),"")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60" t="s">
        <v>30</v>
      </c>
      <c r="C17" s="61">
        <f>SUMIF(B:B,B17,T:T)</f>
        <v>0</v>
      </c>
      <c r="D17" s="62"/>
      <c r="E17" s="49">
        <f>SUMIFS(T:T,B:B,B17,D:D,"Y")</f>
        <v>0</v>
      </c>
      <c r="F17" s="50">
        <f>SUMIF(B37:B1137,B17,G37:G1137)</f>
        <v>0</v>
      </c>
      <c r="G17" s="51">
        <f>SUMIF(B37:B1137,B17,H37:H1137)</f>
        <v>0</v>
      </c>
      <c r="H17" s="51">
        <f>SUMIF(B37:B1137,B17,I37:I1137)</f>
        <v>0</v>
      </c>
      <c r="I17" s="51">
        <f>SUMIF(B37:B1137,B17,P37:P1137)</f>
        <v>0</v>
      </c>
      <c r="J17" s="51">
        <f>SUMIF(B37:B1137,B17,Q37:Q1137)</f>
        <v>0</v>
      </c>
      <c r="K17" s="51">
        <f>SUMIF(B37:B1137,B17,R37:R1137)</f>
        <v>0</v>
      </c>
      <c r="L17" s="51">
        <f>SUMIF(B37:B1137,B17,S37:S1137)</f>
        <v>0</v>
      </c>
      <c r="M17" s="51">
        <f>SUMIF(B37:B1137,B17,M37:M1137)</f>
        <v>0</v>
      </c>
      <c r="N17" s="51">
        <f>SUMIF(B37:B1137,B17,N37:N1137)</f>
        <v>0</v>
      </c>
      <c r="O17" s="51">
        <f>SUMIF(B37:B1137,B17,O37:O1137)</f>
        <v>0</v>
      </c>
      <c r="P17" s="51">
        <f>SUMIF(B37:B1137,B17,J37:J1137)</f>
        <v>0</v>
      </c>
      <c r="Q17" s="51">
        <f>SUMIF(B37:B1137,B17,K37:K1137)</f>
        <v>0</v>
      </c>
      <c r="R17" s="52">
        <f>SUMIF(B37:B1137,B17,L37:L1137)</f>
        <v>0</v>
      </c>
      <c r="S17" s="34"/>
      <c r="T17" s="34"/>
      <c r="U17" s="35"/>
      <c r="V17" s="29"/>
      <c r="W17" s="29"/>
    </row>
    <row r="18" ht="15.0" customHeight="1">
      <c r="A18" s="29"/>
      <c r="B18" s="13"/>
      <c r="C18" s="54" t="s">
        <v>16</v>
      </c>
      <c r="D18" s="63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57">
        <f>COUNTIFS(B37:B1137,B17)</f>
        <v>6</v>
      </c>
      <c r="D19" s="58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IFERROR(M17/SUM(G17+R17,0),"")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64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39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6</v>
      </c>
      <c r="D22" s="65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2.75" customHeight="1">
      <c r="A23" s="29"/>
      <c r="B23" s="8" t="s">
        <v>32</v>
      </c>
      <c r="C23" s="11">
        <f>SUMIF(A:A,B23,T:T)</f>
        <v>0</v>
      </c>
      <c r="D23" s="31"/>
      <c r="E23" s="64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29"/>
      <c r="T23" s="29"/>
      <c r="U23" s="29"/>
      <c r="V23" s="35"/>
      <c r="W23" s="35"/>
    </row>
    <row r="24" ht="15.0" customHeight="1">
      <c r="A24" s="29"/>
      <c r="B24" s="36"/>
      <c r="C24" s="14" t="s">
        <v>16</v>
      </c>
      <c r="D24" s="39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29"/>
      <c r="T24" s="29"/>
      <c r="U24" s="29"/>
      <c r="V24" s="35"/>
      <c r="W24" s="35"/>
    </row>
    <row r="25" ht="12.75" customHeight="1">
      <c r="A25" s="29"/>
      <c r="B25" s="56"/>
      <c r="C25" s="21">
        <f>COUNTIFS(A:A,B23)</f>
        <v>9</v>
      </c>
      <c r="D25" s="65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29"/>
      <c r="T25" s="29"/>
      <c r="U25" s="29"/>
      <c r="V25" s="35"/>
      <c r="W25" s="35"/>
    </row>
    <row r="26" ht="13.5" customHeight="1">
      <c r="A26" s="29"/>
      <c r="B26" s="8" t="s">
        <v>33</v>
      </c>
      <c r="C26" s="9">
        <f>SUMIF(A:A,B26,T:T)</f>
        <v>0</v>
      </c>
      <c r="D26" s="31"/>
      <c r="E26" s="64">
        <f>SUMIFS(T:T,A:A,B26,D:D,"Y")</f>
        <v>0</v>
      </c>
      <c r="F26" s="9">
        <f>SUMIF(A:A,B26,G:G)</f>
        <v>0</v>
      </c>
      <c r="G26" s="11">
        <f>SUMIF(A:A,B26,H:H)</f>
        <v>0</v>
      </c>
      <c r="H26" s="11">
        <f>SUMIF(A:A,B26,I:I)</f>
        <v>0</v>
      </c>
      <c r="I26" s="11">
        <f>SUMIF(A:A,B26,P:P)</f>
        <v>0</v>
      </c>
      <c r="J26" s="11">
        <f>SUMIF(A:A,B26,Q:Q)</f>
        <v>0</v>
      </c>
      <c r="K26" s="11">
        <f>SUMIF(A:A,B26,R:R)</f>
        <v>0</v>
      </c>
      <c r="L26" s="11">
        <f>SUMIF(A:A,B26,S:S)</f>
        <v>0</v>
      </c>
      <c r="M26" s="11">
        <f>SUMIF(A:A,B26,M:M)</f>
        <v>0</v>
      </c>
      <c r="N26" s="11">
        <f>SUMIF(A:A,B26,N:N)</f>
        <v>0</v>
      </c>
      <c r="O26" s="11">
        <f>SUMIF(A:A,B26,O:O)</f>
        <v>0</v>
      </c>
      <c r="P26" s="11">
        <f>SUMIF(A:A,B26,J:J)</f>
        <v>0</v>
      </c>
      <c r="Q26" s="11">
        <f>SUMIF(A:A,B26,K:K)</f>
        <v>0</v>
      </c>
      <c r="R26" s="33">
        <f>SUMIF(A:A,B26,L:L)</f>
        <v>0</v>
      </c>
      <c r="S26" s="34"/>
      <c r="T26" s="34"/>
      <c r="U26" s="29"/>
      <c r="V26" s="35"/>
      <c r="W26" s="35"/>
    </row>
    <row r="27" ht="15.0" customHeight="1">
      <c r="A27" s="35"/>
      <c r="B27" s="36"/>
      <c r="C27" s="14" t="s">
        <v>16</v>
      </c>
      <c r="D27" s="39"/>
      <c r="E27" s="16" t="s">
        <v>17</v>
      </c>
      <c r="F27" s="17" t="s">
        <v>18</v>
      </c>
      <c r="G27" s="17" t="s">
        <v>19</v>
      </c>
      <c r="H27" s="17" t="s">
        <v>20</v>
      </c>
      <c r="I27" s="18"/>
      <c r="J27" s="17" t="s">
        <v>21</v>
      </c>
      <c r="K27" s="18"/>
      <c r="L27" s="17" t="s">
        <v>22</v>
      </c>
      <c r="M27" s="17" t="s">
        <v>23</v>
      </c>
      <c r="N27" s="14"/>
      <c r="O27" s="17" t="s">
        <v>24</v>
      </c>
      <c r="P27" s="18"/>
      <c r="Q27" s="17" t="s">
        <v>25</v>
      </c>
      <c r="R27" s="19"/>
      <c r="S27" s="35"/>
      <c r="T27" s="35"/>
      <c r="U27" s="35"/>
      <c r="V27" s="35"/>
      <c r="W27" s="35"/>
    </row>
    <row r="28" ht="13.5" customHeight="1">
      <c r="A28" s="35"/>
      <c r="B28" s="56"/>
      <c r="C28" s="21">
        <f>COUNTIFS(A:A,B26)</f>
        <v>8</v>
      </c>
      <c r="D28" s="65"/>
      <c r="E28" s="23">
        <f>IFERROR(C26/H26,0)</f>
        <v>0</v>
      </c>
      <c r="F28" s="24">
        <f>IFERROR((G26+R26)/F26,0)</f>
        <v>0</v>
      </c>
      <c r="G28" s="24">
        <f>IFERROR(H26/G26,0)</f>
        <v>0</v>
      </c>
      <c r="H28" s="23">
        <f>(C26/C28)</f>
        <v>0</v>
      </c>
      <c r="I28" s="25"/>
      <c r="J28" s="24">
        <f>IFERROR(J26/I26,0)</f>
        <v>0</v>
      </c>
      <c r="K28" s="25"/>
      <c r="L28" s="24">
        <f>IFERROR(L26/K26,0)</f>
        <v>0</v>
      </c>
      <c r="M28" s="26" t="str">
        <f>IFERROR(M26/SUM(R26+G26,0),"")</f>
        <v/>
      </c>
      <c r="N28" s="25"/>
      <c r="O28" s="24">
        <f>IFERROR(O26/N26,0)</f>
        <v>0</v>
      </c>
      <c r="P28" s="26"/>
      <c r="Q28" s="24">
        <f>IFERROR(Q26/P26,0)</f>
        <v>0</v>
      </c>
      <c r="R28" s="27"/>
      <c r="S28" s="35"/>
      <c r="T28" s="35"/>
      <c r="U28" s="35"/>
      <c r="V28" s="35"/>
      <c r="W28" s="35"/>
    </row>
    <row r="29" ht="12.75" customHeight="1">
      <c r="A29" s="29"/>
      <c r="B29" s="66" t="s">
        <v>34</v>
      </c>
      <c r="C29" s="67">
        <f>SUMIF(A:A,B29,T:T)</f>
        <v>0</v>
      </c>
      <c r="D29" s="68"/>
      <c r="E29" s="69">
        <f>SUMIFS(T:T,A:A,B29,D:D,"Y")</f>
        <v>0</v>
      </c>
      <c r="F29" s="70">
        <f>SUMIF(A:A,B29,G:G)</f>
        <v>0</v>
      </c>
      <c r="G29" s="71">
        <f>SUMIF(A:A,B29,H:H)</f>
        <v>0</v>
      </c>
      <c r="H29" s="71">
        <f>SUMIF(A:A,B29,I:I)</f>
        <v>0</v>
      </c>
      <c r="I29" s="71">
        <f>SUMIF(A:A,B29,P:P)</f>
        <v>0</v>
      </c>
      <c r="J29" s="71">
        <f>SUMIF(A:A,B29,Q:Q)</f>
        <v>0</v>
      </c>
      <c r="K29" s="71">
        <f>SUMIF(A:A,B29,R:R)</f>
        <v>0</v>
      </c>
      <c r="L29" s="71">
        <f>SUMIF(A:A,B29,S:S)</f>
        <v>0</v>
      </c>
      <c r="M29" s="71">
        <f>SUMIF(A:A,B29,M:M)</f>
        <v>0</v>
      </c>
      <c r="N29" s="71">
        <f>SUMIF(A:A,B29,N:N)</f>
        <v>0</v>
      </c>
      <c r="O29" s="71">
        <f>SUMIF(A:A,B29,O:O)</f>
        <v>0</v>
      </c>
      <c r="P29" s="71">
        <f>SUMIF(A:A,B29,J:J)</f>
        <v>0</v>
      </c>
      <c r="Q29" s="71">
        <f>SUMIF(A:A,B29,K:K)</f>
        <v>0</v>
      </c>
      <c r="R29" s="72">
        <f>SUMIF(A:A,B29,L:L)</f>
        <v>0</v>
      </c>
      <c r="S29" s="34"/>
      <c r="T29" s="34"/>
      <c r="U29" s="29"/>
      <c r="V29" s="73"/>
      <c r="W29" s="73"/>
    </row>
    <row r="30" ht="12.75" customHeight="1">
      <c r="A30" s="29"/>
      <c r="B30" s="74"/>
      <c r="C30" s="75" t="s">
        <v>16</v>
      </c>
      <c r="D30" s="76"/>
      <c r="E30" s="77" t="s">
        <v>17</v>
      </c>
      <c r="F30" s="75" t="s">
        <v>18</v>
      </c>
      <c r="G30" s="78" t="s">
        <v>19</v>
      </c>
      <c r="H30" s="78" t="s">
        <v>20</v>
      </c>
      <c r="I30" s="76"/>
      <c r="J30" s="78" t="s">
        <v>21</v>
      </c>
      <c r="K30" s="76"/>
      <c r="L30" s="78" t="s">
        <v>22</v>
      </c>
      <c r="M30" s="78" t="s">
        <v>23</v>
      </c>
      <c r="N30" s="76"/>
      <c r="O30" s="78" t="s">
        <v>24</v>
      </c>
      <c r="P30" s="76"/>
      <c r="Q30" s="78" t="s">
        <v>25</v>
      </c>
      <c r="R30" s="79"/>
      <c r="S30" s="34"/>
      <c r="T30" s="34"/>
      <c r="U30" s="29"/>
      <c r="V30" s="73"/>
      <c r="W30" s="73"/>
    </row>
    <row r="31" ht="12.75" customHeight="1">
      <c r="A31" s="29"/>
      <c r="B31" s="74"/>
      <c r="C31" s="80">
        <f>COUNTIFS(A:A,B29)</f>
        <v>18</v>
      </c>
      <c r="D31" s="76"/>
      <c r="E31" s="81">
        <f>IFERROR(C29/H29,0)</f>
        <v>0</v>
      </c>
      <c r="F31" s="82">
        <f>IFERROR((G29+R29)/F29,0)</f>
        <v>0</v>
      </c>
      <c r="G31" s="82">
        <f>IFERROR(H29/G29,0)</f>
        <v>0</v>
      </c>
      <c r="H31" s="81">
        <f>(C29/C31)</f>
        <v>0</v>
      </c>
      <c r="I31" s="83"/>
      <c r="J31" s="82">
        <f>IFERROR(J29/I29,0)</f>
        <v>0</v>
      </c>
      <c r="K31" s="83"/>
      <c r="L31" s="82">
        <f>IFERROR(L29/K29,0)</f>
        <v>0</v>
      </c>
      <c r="M31" s="84" t="str">
        <f>IFERROR(M29/SUM(R29+G29,0),"")</f>
        <v/>
      </c>
      <c r="N31" s="83"/>
      <c r="O31" s="82">
        <f>IFERROR(O29/N29,0)</f>
        <v>0</v>
      </c>
      <c r="P31" s="84"/>
      <c r="Q31" s="82">
        <f>IFERROR(Q29/P29,0)</f>
        <v>0</v>
      </c>
      <c r="R31" s="85"/>
      <c r="S31" s="34"/>
      <c r="T31" s="34"/>
      <c r="U31" s="29"/>
      <c r="V31" s="73"/>
      <c r="W31" s="73"/>
    </row>
    <row r="32" ht="12.75" customHeight="1">
      <c r="A32" s="29"/>
      <c r="B32" s="8" t="s">
        <v>35</v>
      </c>
      <c r="C32" s="11">
        <f>SUMIF(A:A,B32,T:T)</f>
        <v>0</v>
      </c>
      <c r="D32" s="31"/>
      <c r="E32" s="64">
        <f>SUMIFS(T:T,A:A,B32,D:D,"Y")</f>
        <v>0</v>
      </c>
      <c r="F32" s="9">
        <f>SUMIF(A:A,B32,G:G)</f>
        <v>0</v>
      </c>
      <c r="G32" s="11">
        <f>SUMIF(A:A,B32,H:H)</f>
        <v>0</v>
      </c>
      <c r="H32" s="11">
        <f>SUMIF(A:A,B32,I:I)</f>
        <v>0</v>
      </c>
      <c r="I32" s="11">
        <f>SUMIF(A:A,B32,P:P)</f>
        <v>0</v>
      </c>
      <c r="J32" s="11">
        <f>SUMIF(A:A,B32,Q:Q)</f>
        <v>0</v>
      </c>
      <c r="K32" s="11">
        <f>SUMIF(A:A,B32,R:R)</f>
        <v>0</v>
      </c>
      <c r="L32" s="11">
        <f>SUMIF(A:A,B32,S:S)</f>
        <v>0</v>
      </c>
      <c r="M32" s="11">
        <f>SUMIF(A:A,B32,M:M)</f>
        <v>0</v>
      </c>
      <c r="N32" s="11">
        <f>SUMIF(A:A,B32,N:N)</f>
        <v>0</v>
      </c>
      <c r="O32" s="11">
        <f>SUMIF(A:A,B32,O:O)</f>
        <v>0</v>
      </c>
      <c r="P32" s="11">
        <f>SUMIF(A:A,B32,J:J)</f>
        <v>0</v>
      </c>
      <c r="Q32" s="11">
        <f>SUMIF(A:A,B32,K:K)</f>
        <v>0</v>
      </c>
      <c r="R32" s="33">
        <f>SUMIF(A:A,B32,L:L)</f>
        <v>0</v>
      </c>
      <c r="S32" s="29"/>
      <c r="T32" s="29"/>
      <c r="U32" s="29"/>
      <c r="V32" s="35"/>
      <c r="W32" s="35"/>
    </row>
    <row r="33" ht="15.0" customHeight="1">
      <c r="A33" s="29"/>
      <c r="B33" s="36"/>
      <c r="C33" s="14" t="s">
        <v>16</v>
      </c>
      <c r="D33" s="39"/>
      <c r="E33" s="16" t="s">
        <v>17</v>
      </c>
      <c r="F33" s="17" t="s">
        <v>18</v>
      </c>
      <c r="G33" s="17" t="s">
        <v>19</v>
      </c>
      <c r="H33" s="17" t="s">
        <v>20</v>
      </c>
      <c r="I33" s="18"/>
      <c r="J33" s="17" t="s">
        <v>21</v>
      </c>
      <c r="K33" s="18"/>
      <c r="L33" s="17" t="s">
        <v>22</v>
      </c>
      <c r="M33" s="17" t="s">
        <v>23</v>
      </c>
      <c r="N33" s="14"/>
      <c r="O33" s="17" t="s">
        <v>24</v>
      </c>
      <c r="P33" s="18"/>
      <c r="Q33" s="17" t="s">
        <v>25</v>
      </c>
      <c r="R33" s="19"/>
      <c r="S33" s="29"/>
      <c r="T33" s="29"/>
      <c r="U33" s="29"/>
      <c r="V33" s="35"/>
      <c r="W33" s="35"/>
    </row>
    <row r="34" ht="12.75" customHeight="1">
      <c r="A34" s="29"/>
      <c r="B34" s="56"/>
      <c r="C34" s="21">
        <f>COUNTIFS(A:A,B32)</f>
        <v>2</v>
      </c>
      <c r="D34" s="65"/>
      <c r="E34" s="23">
        <f>IFERROR(C32/H32,0)</f>
        <v>0</v>
      </c>
      <c r="F34" s="24">
        <f>IFERROR((G32+R32)/F32,0)</f>
        <v>0</v>
      </c>
      <c r="G34" s="24">
        <f>IFERROR(H32/G32,0)</f>
        <v>0</v>
      </c>
      <c r="H34" s="23">
        <f>(C32/C34)</f>
        <v>0</v>
      </c>
      <c r="I34" s="25"/>
      <c r="J34" s="24">
        <f>IFERROR(J32/I32,0)</f>
        <v>0</v>
      </c>
      <c r="K34" s="25"/>
      <c r="L34" s="24">
        <f>IFERROR(L32/K32,0)</f>
        <v>0</v>
      </c>
      <c r="M34" s="26" t="str">
        <f>IFERROR(M32/SUM(R32+G32,0),"")</f>
        <v/>
      </c>
      <c r="N34" s="25"/>
      <c r="O34" s="24">
        <f>IFERROR(O32/N32,0)</f>
        <v>0</v>
      </c>
      <c r="P34" s="26"/>
      <c r="Q34" s="24">
        <f>IFERROR(Q32/P32,0)</f>
        <v>0</v>
      </c>
      <c r="R34" s="27"/>
      <c r="S34" s="29"/>
      <c r="T34" s="29"/>
      <c r="U34" s="29"/>
      <c r="V34" s="35"/>
      <c r="W34" s="35"/>
    </row>
    <row r="35" ht="12.75" customHeight="1">
      <c r="A35" s="86"/>
      <c r="B35" s="87"/>
      <c r="C35" s="87"/>
      <c r="D35" s="88"/>
      <c r="E35" s="87"/>
      <c r="F35" s="87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90"/>
      <c r="T35" s="90"/>
      <c r="U35" s="86"/>
      <c r="V35" s="91"/>
      <c r="W35" s="92"/>
    </row>
    <row r="36" ht="20.25" customHeight="1">
      <c r="A36" s="93" t="s">
        <v>36</v>
      </c>
      <c r="B36" s="94" t="s">
        <v>37</v>
      </c>
      <c r="C36" s="94" t="s">
        <v>38</v>
      </c>
      <c r="D36" s="95"/>
      <c r="E36" s="96" t="s">
        <v>39</v>
      </c>
      <c r="F36" s="94" t="s">
        <v>40</v>
      </c>
      <c r="G36" s="97" t="s">
        <v>41</v>
      </c>
      <c r="H36" s="97" t="s">
        <v>42</v>
      </c>
      <c r="I36" s="97" t="s">
        <v>43</v>
      </c>
      <c r="J36" s="97" t="s">
        <v>12</v>
      </c>
      <c r="K36" s="97" t="s">
        <v>44</v>
      </c>
      <c r="L36" s="97" t="s">
        <v>14</v>
      </c>
      <c r="M36" s="97" t="s">
        <v>9</v>
      </c>
      <c r="N36" s="97" t="s">
        <v>10</v>
      </c>
      <c r="O36" s="97" t="s">
        <v>45</v>
      </c>
      <c r="P36" s="97" t="s">
        <v>5</v>
      </c>
      <c r="Q36" s="97" t="s">
        <v>46</v>
      </c>
      <c r="R36" s="97" t="s">
        <v>47</v>
      </c>
      <c r="S36" s="97" t="s">
        <v>48</v>
      </c>
      <c r="T36" s="97" t="s">
        <v>0</v>
      </c>
      <c r="U36" s="96" t="s">
        <v>49</v>
      </c>
      <c r="V36" s="96" t="s">
        <v>50</v>
      </c>
      <c r="W36" s="98" t="s">
        <v>51</v>
      </c>
    </row>
    <row r="37" ht="12.75" customHeight="1">
      <c r="A37" s="99" t="s">
        <v>26</v>
      </c>
      <c r="B37" s="100"/>
      <c r="C37" s="100"/>
      <c r="D37" s="101" t="s">
        <v>52</v>
      </c>
      <c r="E37" s="101" t="s">
        <v>53</v>
      </c>
      <c r="F37" s="102" t="s">
        <v>26</v>
      </c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4">
        <f t="shared" ref="U37:U62" si="2">IFERROR(I37/H37,0)</f>
        <v>0</v>
      </c>
      <c r="V37" s="104">
        <f t="shared" ref="V37:V62" si="3">IFERROR(SUM(H37+L37)/G37,0)</f>
        <v>0</v>
      </c>
      <c r="W37" s="105"/>
    </row>
    <row r="38" ht="12.75" customHeight="1">
      <c r="A38" s="106" t="s">
        <v>26</v>
      </c>
      <c r="B38" s="107" t="s">
        <v>27</v>
      </c>
      <c r="C38" s="108"/>
      <c r="D38" s="109" t="s">
        <v>52</v>
      </c>
      <c r="E38" s="109" t="s">
        <v>53</v>
      </c>
      <c r="F38" s="109" t="s">
        <v>54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>
        <f t="shared" si="2"/>
        <v>0</v>
      </c>
      <c r="V38" s="104">
        <f t="shared" si="3"/>
        <v>0</v>
      </c>
      <c r="W38" s="105"/>
    </row>
    <row r="39" ht="12.75" customHeight="1">
      <c r="A39" s="110" t="s">
        <v>26</v>
      </c>
      <c r="B39" s="99" t="s">
        <v>27</v>
      </c>
      <c r="C39" s="111"/>
      <c r="D39" s="101"/>
      <c r="E39" s="111" t="s">
        <v>55</v>
      </c>
      <c r="F39" s="111" t="s">
        <v>56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4">
        <f t="shared" si="2"/>
        <v>0</v>
      </c>
      <c r="V39" s="104">
        <f t="shared" si="3"/>
        <v>0</v>
      </c>
      <c r="W39" s="105"/>
    </row>
    <row r="40" ht="12.75" customHeight="1">
      <c r="A40" s="110" t="s">
        <v>26</v>
      </c>
      <c r="B40" s="99" t="s">
        <v>27</v>
      </c>
      <c r="C40" s="111"/>
      <c r="D40" s="101"/>
      <c r="E40" s="111" t="s">
        <v>53</v>
      </c>
      <c r="F40" s="111" t="s">
        <v>57</v>
      </c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4">
        <f t="shared" si="2"/>
        <v>0</v>
      </c>
      <c r="V40" s="104">
        <f t="shared" si="3"/>
        <v>0</v>
      </c>
      <c r="W40" s="105"/>
    </row>
    <row r="41" ht="12.75" customHeight="1">
      <c r="A41" s="112" t="s">
        <v>26</v>
      </c>
      <c r="B41" s="113" t="s">
        <v>27</v>
      </c>
      <c r="C41" s="114" t="s">
        <v>58</v>
      </c>
      <c r="D41" s="115" t="s">
        <v>52</v>
      </c>
      <c r="E41" s="112" t="s">
        <v>59</v>
      </c>
      <c r="F41" s="114" t="s">
        <v>60</v>
      </c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4">
        <f t="shared" si="2"/>
        <v>0</v>
      </c>
      <c r="V41" s="104">
        <f t="shared" si="3"/>
        <v>0</v>
      </c>
      <c r="W41" s="105"/>
    </row>
    <row r="42" ht="12.75" customHeight="1">
      <c r="A42" s="116" t="s">
        <v>26</v>
      </c>
      <c r="B42" s="117" t="s">
        <v>27</v>
      </c>
      <c r="C42" s="118" t="s">
        <v>58</v>
      </c>
      <c r="D42" s="119"/>
      <c r="E42" s="118"/>
      <c r="F42" s="118" t="s">
        <v>61</v>
      </c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4">
        <f t="shared" si="2"/>
        <v>0</v>
      </c>
      <c r="V42" s="104">
        <f t="shared" si="3"/>
        <v>0</v>
      </c>
      <c r="W42" s="105"/>
    </row>
    <row r="43" ht="12.75" customHeight="1">
      <c r="A43" s="116" t="s">
        <v>26</v>
      </c>
      <c r="B43" s="117" t="s">
        <v>27</v>
      </c>
      <c r="C43" s="118" t="s">
        <v>58</v>
      </c>
      <c r="D43" s="119"/>
      <c r="E43" s="118"/>
      <c r="F43" s="118" t="s">
        <v>62</v>
      </c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4">
        <f t="shared" si="2"/>
        <v>0</v>
      </c>
      <c r="V43" s="104">
        <f t="shared" si="3"/>
        <v>0</v>
      </c>
      <c r="W43" s="105"/>
    </row>
    <row r="44" ht="12.75" customHeight="1">
      <c r="A44" s="116" t="s">
        <v>26</v>
      </c>
      <c r="B44" s="117" t="s">
        <v>27</v>
      </c>
      <c r="C44" s="118" t="s">
        <v>58</v>
      </c>
      <c r="D44" s="119"/>
      <c r="E44" s="118" t="s">
        <v>53</v>
      </c>
      <c r="F44" s="118" t="s">
        <v>63</v>
      </c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4">
        <f t="shared" si="2"/>
        <v>0</v>
      </c>
      <c r="V44" s="104">
        <f t="shared" si="3"/>
        <v>0</v>
      </c>
      <c r="W44" s="105"/>
    </row>
    <row r="45" ht="12.75" customHeight="1">
      <c r="A45" s="116" t="s">
        <v>26</v>
      </c>
      <c r="B45" s="117" t="s">
        <v>27</v>
      </c>
      <c r="C45" s="118" t="s">
        <v>58</v>
      </c>
      <c r="D45" s="119"/>
      <c r="E45" s="118" t="s">
        <v>64</v>
      </c>
      <c r="F45" s="118" t="s">
        <v>65</v>
      </c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4">
        <f t="shared" si="2"/>
        <v>0</v>
      </c>
      <c r="V45" s="104">
        <f t="shared" si="3"/>
        <v>0</v>
      </c>
      <c r="W45" s="105"/>
    </row>
    <row r="46" ht="12.75" customHeight="1">
      <c r="A46" s="120" t="s">
        <v>26</v>
      </c>
      <c r="B46" s="121" t="s">
        <v>28</v>
      </c>
      <c r="C46" s="121"/>
      <c r="D46" s="122" t="s">
        <v>52</v>
      </c>
      <c r="E46" s="121" t="s">
        <v>66</v>
      </c>
      <c r="F46" s="123" t="s">
        <v>28</v>
      </c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4">
        <f t="shared" si="2"/>
        <v>0</v>
      </c>
      <c r="V46" s="104">
        <f t="shared" si="3"/>
        <v>0</v>
      </c>
      <c r="W46" s="105"/>
    </row>
    <row r="47" ht="13.5" customHeight="1">
      <c r="A47" s="124" t="s">
        <v>26</v>
      </c>
      <c r="B47" s="125" t="s">
        <v>28</v>
      </c>
      <c r="C47" s="125"/>
      <c r="D47" s="126"/>
      <c r="E47" s="125" t="s">
        <v>64</v>
      </c>
      <c r="F47" s="125" t="s">
        <v>67</v>
      </c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4">
        <f t="shared" si="2"/>
        <v>0</v>
      </c>
      <c r="V47" s="104">
        <f t="shared" si="3"/>
        <v>0</v>
      </c>
      <c r="W47" s="105"/>
    </row>
    <row r="48" ht="13.5" customHeight="1">
      <c r="A48" s="124" t="s">
        <v>26</v>
      </c>
      <c r="B48" s="125" t="s">
        <v>28</v>
      </c>
      <c r="C48" s="125"/>
      <c r="D48" s="126"/>
      <c r="E48" s="125" t="s">
        <v>66</v>
      </c>
      <c r="F48" s="125" t="s">
        <v>68</v>
      </c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4">
        <f t="shared" si="2"/>
        <v>0</v>
      </c>
      <c r="V48" s="104">
        <f t="shared" si="3"/>
        <v>0</v>
      </c>
      <c r="W48" s="105"/>
    </row>
    <row r="49" ht="13.5" customHeight="1">
      <c r="A49" s="127" t="s">
        <v>26</v>
      </c>
      <c r="B49" s="113" t="s">
        <v>28</v>
      </c>
      <c r="C49" s="112" t="s">
        <v>69</v>
      </c>
      <c r="D49" s="128" t="s">
        <v>52</v>
      </c>
      <c r="E49" s="112" t="s">
        <v>70</v>
      </c>
      <c r="F49" s="112" t="s">
        <v>69</v>
      </c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4">
        <f t="shared" si="2"/>
        <v>0</v>
      </c>
      <c r="V49" s="104">
        <f t="shared" si="3"/>
        <v>0</v>
      </c>
      <c r="W49" s="105"/>
    </row>
    <row r="50" ht="13.5" customHeight="1">
      <c r="A50" s="129" t="s">
        <v>26</v>
      </c>
      <c r="B50" s="117" t="s">
        <v>28</v>
      </c>
      <c r="C50" s="118" t="s">
        <v>69</v>
      </c>
      <c r="D50" s="130"/>
      <c r="E50" s="118" t="s">
        <v>64</v>
      </c>
      <c r="F50" s="118" t="s">
        <v>71</v>
      </c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4">
        <f t="shared" si="2"/>
        <v>0</v>
      </c>
      <c r="V50" s="104">
        <f t="shared" si="3"/>
        <v>0</v>
      </c>
      <c r="W50" s="105"/>
    </row>
    <row r="51" ht="13.5" customHeight="1">
      <c r="A51" s="129" t="s">
        <v>26</v>
      </c>
      <c r="B51" s="117" t="s">
        <v>28</v>
      </c>
      <c r="C51" s="118" t="s">
        <v>69</v>
      </c>
      <c r="D51" s="130"/>
      <c r="E51" s="118" t="s">
        <v>64</v>
      </c>
      <c r="F51" s="118" t="s">
        <v>72</v>
      </c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4">
        <f t="shared" si="2"/>
        <v>0</v>
      </c>
      <c r="V51" s="104">
        <f t="shared" si="3"/>
        <v>0</v>
      </c>
      <c r="W51" s="105"/>
    </row>
    <row r="52" ht="13.5" customHeight="1">
      <c r="A52" s="129" t="s">
        <v>26</v>
      </c>
      <c r="B52" s="117" t="s">
        <v>28</v>
      </c>
      <c r="C52" s="118" t="s">
        <v>69</v>
      </c>
      <c r="D52" s="130"/>
      <c r="E52" s="118"/>
      <c r="F52" s="118" t="s">
        <v>73</v>
      </c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4">
        <f t="shared" si="2"/>
        <v>0</v>
      </c>
      <c r="V52" s="104">
        <f t="shared" si="3"/>
        <v>0</v>
      </c>
      <c r="W52" s="105"/>
    </row>
    <row r="53" ht="15.0" customHeight="1">
      <c r="A53" s="120" t="s">
        <v>26</v>
      </c>
      <c r="B53" s="109" t="s">
        <v>29</v>
      </c>
      <c r="C53" s="109"/>
      <c r="D53" s="121" t="s">
        <v>52</v>
      </c>
      <c r="E53" s="109" t="s">
        <v>74</v>
      </c>
      <c r="F53" s="109" t="s">
        <v>29</v>
      </c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4">
        <f t="shared" si="2"/>
        <v>0</v>
      </c>
      <c r="V53" s="104">
        <f t="shared" si="3"/>
        <v>0</v>
      </c>
      <c r="W53" s="105"/>
    </row>
    <row r="54" ht="15.0" customHeight="1">
      <c r="A54" s="131" t="s">
        <v>26</v>
      </c>
      <c r="B54" s="132" t="s">
        <v>29</v>
      </c>
      <c r="C54" s="132" t="s">
        <v>75</v>
      </c>
      <c r="D54" s="132" t="s">
        <v>52</v>
      </c>
      <c r="E54" s="132" t="s">
        <v>74</v>
      </c>
      <c r="F54" s="132" t="s">
        <v>75</v>
      </c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4">
        <f t="shared" si="2"/>
        <v>0</v>
      </c>
      <c r="V54" s="104">
        <f t="shared" si="3"/>
        <v>0</v>
      </c>
      <c r="W54" s="105"/>
    </row>
    <row r="55" ht="15.0" customHeight="1">
      <c r="A55" s="124" t="s">
        <v>26</v>
      </c>
      <c r="B55" s="125" t="s">
        <v>29</v>
      </c>
      <c r="C55" s="125" t="s">
        <v>75</v>
      </c>
      <c r="D55" s="133"/>
      <c r="E55" s="125" t="s">
        <v>74</v>
      </c>
      <c r="F55" s="125" t="s">
        <v>76</v>
      </c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4">
        <f t="shared" si="2"/>
        <v>0</v>
      </c>
      <c r="V55" s="104">
        <f t="shared" si="3"/>
        <v>0</v>
      </c>
      <c r="W55" s="105"/>
    </row>
    <row r="56" ht="15.0" customHeight="1">
      <c r="A56" s="124" t="s">
        <v>26</v>
      </c>
      <c r="B56" s="125" t="s">
        <v>29</v>
      </c>
      <c r="C56" s="125" t="s">
        <v>75</v>
      </c>
      <c r="D56" s="133"/>
      <c r="E56" s="125" t="s">
        <v>74</v>
      </c>
      <c r="F56" s="125" t="s">
        <v>77</v>
      </c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4">
        <f t="shared" si="2"/>
        <v>0</v>
      </c>
      <c r="V56" s="104">
        <f t="shared" si="3"/>
        <v>0</v>
      </c>
      <c r="W56" s="105"/>
    </row>
    <row r="57" ht="15.0" customHeight="1">
      <c r="A57" s="134" t="s">
        <v>26</v>
      </c>
      <c r="B57" s="109" t="s">
        <v>30</v>
      </c>
      <c r="C57" s="135"/>
      <c r="D57" s="121" t="s">
        <v>52</v>
      </c>
      <c r="E57" s="109" t="s">
        <v>78</v>
      </c>
      <c r="F57" s="109" t="s">
        <v>30</v>
      </c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4">
        <f t="shared" si="2"/>
        <v>0</v>
      </c>
      <c r="V57" s="104">
        <f t="shared" si="3"/>
        <v>0</v>
      </c>
      <c r="W57" s="105"/>
    </row>
    <row r="58" ht="15.0" customHeight="1">
      <c r="A58" s="124" t="s">
        <v>26</v>
      </c>
      <c r="B58" s="136" t="s">
        <v>30</v>
      </c>
      <c r="C58" s="136"/>
      <c r="D58" s="137"/>
      <c r="E58" s="136"/>
      <c r="F58" s="136" t="s">
        <v>79</v>
      </c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4">
        <f t="shared" si="2"/>
        <v>0</v>
      </c>
      <c r="V58" s="104">
        <f t="shared" si="3"/>
        <v>0</v>
      </c>
      <c r="W58" s="105"/>
    </row>
    <row r="59" ht="15.0" customHeight="1">
      <c r="A59" s="124" t="s">
        <v>26</v>
      </c>
      <c r="B59" s="136" t="s">
        <v>30</v>
      </c>
      <c r="C59" s="136"/>
      <c r="D59" s="137"/>
      <c r="E59" s="136" t="s">
        <v>53</v>
      </c>
      <c r="F59" s="136" t="s">
        <v>80</v>
      </c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4">
        <f t="shared" si="2"/>
        <v>0</v>
      </c>
      <c r="V59" s="104">
        <f t="shared" si="3"/>
        <v>0</v>
      </c>
      <c r="W59" s="105"/>
    </row>
    <row r="60" ht="15.0" customHeight="1">
      <c r="A60" s="127" t="s">
        <v>26</v>
      </c>
      <c r="B60" s="113" t="s">
        <v>30</v>
      </c>
      <c r="C60" s="113" t="s">
        <v>81</v>
      </c>
      <c r="D60" s="113" t="s">
        <v>52</v>
      </c>
      <c r="E60" s="113"/>
      <c r="F60" s="113" t="s">
        <v>81</v>
      </c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4">
        <f t="shared" si="2"/>
        <v>0</v>
      </c>
      <c r="V60" s="104">
        <f t="shared" si="3"/>
        <v>0</v>
      </c>
      <c r="W60" s="105"/>
    </row>
    <row r="61" ht="15.0" customHeight="1">
      <c r="A61" s="129" t="s">
        <v>26</v>
      </c>
      <c r="B61" s="117" t="s">
        <v>30</v>
      </c>
      <c r="C61" s="118" t="s">
        <v>81</v>
      </c>
      <c r="D61" s="112"/>
      <c r="E61" s="118"/>
      <c r="F61" s="118" t="s">
        <v>82</v>
      </c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f t="shared" si="2"/>
        <v>0</v>
      </c>
      <c r="V61" s="104">
        <f t="shared" si="3"/>
        <v>0</v>
      </c>
      <c r="W61" s="105"/>
    </row>
    <row r="62" ht="15.0" customHeight="1">
      <c r="A62" s="131" t="s">
        <v>26</v>
      </c>
      <c r="B62" s="137" t="s">
        <v>30</v>
      </c>
      <c r="C62" s="137" t="s">
        <v>83</v>
      </c>
      <c r="D62" s="137" t="s">
        <v>52</v>
      </c>
      <c r="E62" s="137"/>
      <c r="F62" s="137" t="s">
        <v>83</v>
      </c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4">
        <f t="shared" si="2"/>
        <v>0</v>
      </c>
      <c r="V62" s="104">
        <f t="shared" si="3"/>
        <v>0</v>
      </c>
      <c r="W62" s="105"/>
    </row>
    <row r="63" ht="20.25" customHeight="1">
      <c r="A63" s="93" t="s">
        <v>36</v>
      </c>
      <c r="B63" s="94" t="s">
        <v>37</v>
      </c>
      <c r="C63" s="94" t="s">
        <v>38</v>
      </c>
      <c r="D63" s="95"/>
      <c r="E63" s="96" t="s">
        <v>39</v>
      </c>
      <c r="F63" s="94" t="s">
        <v>40</v>
      </c>
      <c r="G63" s="97" t="s">
        <v>41</v>
      </c>
      <c r="H63" s="97" t="s">
        <v>42</v>
      </c>
      <c r="I63" s="97" t="s">
        <v>43</v>
      </c>
      <c r="J63" s="97" t="s">
        <v>12</v>
      </c>
      <c r="K63" s="97" t="s">
        <v>44</v>
      </c>
      <c r="L63" s="97" t="s">
        <v>14</v>
      </c>
      <c r="M63" s="97" t="s">
        <v>9</v>
      </c>
      <c r="N63" s="97" t="s">
        <v>10</v>
      </c>
      <c r="O63" s="97" t="s">
        <v>45</v>
      </c>
      <c r="P63" s="97" t="s">
        <v>5</v>
      </c>
      <c r="Q63" s="97" t="s">
        <v>46</v>
      </c>
      <c r="R63" s="97" t="s">
        <v>47</v>
      </c>
      <c r="S63" s="97" t="s">
        <v>48</v>
      </c>
      <c r="T63" s="97" t="s">
        <v>0</v>
      </c>
      <c r="U63" s="96" t="s">
        <v>49</v>
      </c>
      <c r="V63" s="96" t="s">
        <v>50</v>
      </c>
      <c r="W63" s="98"/>
    </row>
    <row r="64" ht="12.75" customHeight="1">
      <c r="A64" s="138" t="s">
        <v>31</v>
      </c>
      <c r="B64" s="138"/>
      <c r="C64" s="139"/>
      <c r="D64" s="140" t="s">
        <v>52</v>
      </c>
      <c r="E64" s="140" t="s">
        <v>53</v>
      </c>
      <c r="F64" s="138" t="s">
        <v>31</v>
      </c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4">
        <f t="shared" ref="U64:U69" si="4">IFERROR(I64/H64,0)</f>
        <v>0</v>
      </c>
      <c r="V64" s="104">
        <f t="shared" ref="V64:V69" si="5">IFERROR(SUM(H64+L64)/G64,0)</f>
        <v>0</v>
      </c>
      <c r="W64" s="105"/>
    </row>
    <row r="65" ht="12.75" customHeight="1">
      <c r="A65" s="112" t="s">
        <v>31</v>
      </c>
      <c r="B65" s="112"/>
      <c r="C65" s="112" t="s">
        <v>84</v>
      </c>
      <c r="D65" s="141" t="s">
        <v>52</v>
      </c>
      <c r="E65" s="112" t="s">
        <v>85</v>
      </c>
      <c r="F65" s="112" t="s">
        <v>84</v>
      </c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42">
        <f t="shared" si="4"/>
        <v>0</v>
      </c>
      <c r="V65" s="142">
        <f t="shared" si="5"/>
        <v>0</v>
      </c>
      <c r="W65" s="143"/>
    </row>
    <row r="66" ht="12.75" customHeight="1">
      <c r="A66" s="118" t="s">
        <v>31</v>
      </c>
      <c r="B66" s="118"/>
      <c r="C66" s="118" t="s">
        <v>84</v>
      </c>
      <c r="D66" s="144"/>
      <c r="E66" s="118"/>
      <c r="F66" s="118" t="s">
        <v>86</v>
      </c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42">
        <f t="shared" si="4"/>
        <v>0</v>
      </c>
      <c r="V66" s="142">
        <f t="shared" si="5"/>
        <v>0</v>
      </c>
      <c r="W66" s="143"/>
    </row>
    <row r="67" ht="12.75" customHeight="1">
      <c r="A67" s="102" t="s">
        <v>31</v>
      </c>
      <c r="B67" s="102"/>
      <c r="C67" s="102" t="s">
        <v>87</v>
      </c>
      <c r="D67" s="145" t="s">
        <v>52</v>
      </c>
      <c r="E67" s="102" t="s">
        <v>55</v>
      </c>
      <c r="F67" s="102" t="s">
        <v>87</v>
      </c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42">
        <f t="shared" si="4"/>
        <v>0</v>
      </c>
      <c r="V67" s="142">
        <f t="shared" si="5"/>
        <v>0</v>
      </c>
      <c r="W67" s="143"/>
    </row>
    <row r="68" ht="12.75" customHeight="1">
      <c r="A68" s="111" t="s">
        <v>31</v>
      </c>
      <c r="B68" s="111"/>
      <c r="C68" s="111" t="s">
        <v>87</v>
      </c>
      <c r="D68" s="146"/>
      <c r="E68" s="111" t="s">
        <v>64</v>
      </c>
      <c r="F68" s="111" t="s">
        <v>88</v>
      </c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42">
        <f t="shared" si="4"/>
        <v>0</v>
      </c>
      <c r="V68" s="142">
        <f t="shared" si="5"/>
        <v>0</v>
      </c>
      <c r="W68" s="143"/>
    </row>
    <row r="69" ht="12.75" customHeight="1">
      <c r="A69" s="111" t="s">
        <v>31</v>
      </c>
      <c r="B69" s="111"/>
      <c r="C69" s="111" t="s">
        <v>87</v>
      </c>
      <c r="D69" s="146"/>
      <c r="E69" s="111" t="s">
        <v>89</v>
      </c>
      <c r="F69" s="111" t="s">
        <v>90</v>
      </c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42">
        <f t="shared" si="4"/>
        <v>0</v>
      </c>
      <c r="V69" s="142">
        <f t="shared" si="5"/>
        <v>0</v>
      </c>
      <c r="W69" s="143"/>
    </row>
    <row r="70" ht="20.25" customHeight="1">
      <c r="A70" s="93" t="s">
        <v>36</v>
      </c>
      <c r="B70" s="94" t="s">
        <v>37</v>
      </c>
      <c r="C70" s="94" t="s">
        <v>38</v>
      </c>
      <c r="D70" s="95"/>
      <c r="E70" s="96" t="s">
        <v>39</v>
      </c>
      <c r="F70" s="94" t="s">
        <v>40</v>
      </c>
      <c r="G70" s="97" t="s">
        <v>41</v>
      </c>
      <c r="H70" s="97" t="s">
        <v>42</v>
      </c>
      <c r="I70" s="97" t="s">
        <v>43</v>
      </c>
      <c r="J70" s="97" t="s">
        <v>12</v>
      </c>
      <c r="K70" s="97" t="s">
        <v>44</v>
      </c>
      <c r="L70" s="97" t="s">
        <v>14</v>
      </c>
      <c r="M70" s="97" t="s">
        <v>9</v>
      </c>
      <c r="N70" s="97" t="s">
        <v>10</v>
      </c>
      <c r="O70" s="97" t="s">
        <v>45</v>
      </c>
      <c r="P70" s="97" t="s">
        <v>5</v>
      </c>
      <c r="Q70" s="97" t="s">
        <v>46</v>
      </c>
      <c r="R70" s="97" t="s">
        <v>47</v>
      </c>
      <c r="S70" s="97" t="s">
        <v>48</v>
      </c>
      <c r="T70" s="97" t="s">
        <v>0</v>
      </c>
      <c r="U70" s="96" t="s">
        <v>49</v>
      </c>
      <c r="V70" s="96" t="s">
        <v>50</v>
      </c>
      <c r="W70" s="98"/>
    </row>
    <row r="71" ht="13.5" customHeight="1">
      <c r="A71" s="147" t="s">
        <v>32</v>
      </c>
      <c r="B71" s="138"/>
      <c r="C71" s="140"/>
      <c r="D71" s="148" t="s">
        <v>52</v>
      </c>
      <c r="E71" s="138" t="s">
        <v>91</v>
      </c>
      <c r="F71" s="138" t="s">
        <v>32</v>
      </c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>
        <f t="shared" ref="U71:U79" si="6">IFERROR(I71/H71,0)</f>
        <v>0</v>
      </c>
      <c r="V71" s="104">
        <f t="shared" ref="V71:V79" si="7">IFERROR(SUM(H71+L71)/G71,0)</f>
        <v>0</v>
      </c>
      <c r="W71" s="105"/>
    </row>
    <row r="72" ht="13.5" customHeight="1">
      <c r="A72" s="125" t="s">
        <v>32</v>
      </c>
      <c r="B72" s="125"/>
      <c r="C72" s="149"/>
      <c r="D72" s="126"/>
      <c r="E72" s="125" t="s">
        <v>91</v>
      </c>
      <c r="F72" s="125" t="s">
        <v>92</v>
      </c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>
        <f t="shared" si="6"/>
        <v>0</v>
      </c>
      <c r="V72" s="104">
        <f t="shared" si="7"/>
        <v>0</v>
      </c>
      <c r="W72" s="105"/>
    </row>
    <row r="73" ht="13.5" customHeight="1">
      <c r="A73" s="125" t="s">
        <v>32</v>
      </c>
      <c r="B73" s="125"/>
      <c r="C73" s="125"/>
      <c r="D73" s="150"/>
      <c r="E73" s="125" t="s">
        <v>91</v>
      </c>
      <c r="F73" s="125" t="s">
        <v>93</v>
      </c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>
        <f t="shared" si="6"/>
        <v>0</v>
      </c>
      <c r="V73" s="104">
        <f t="shared" si="7"/>
        <v>0</v>
      </c>
      <c r="W73" s="105"/>
    </row>
    <row r="74" ht="13.5" customHeight="1">
      <c r="A74" s="125" t="s">
        <v>32</v>
      </c>
      <c r="B74" s="125"/>
      <c r="C74" s="125"/>
      <c r="D74" s="150"/>
      <c r="E74" s="125" t="s">
        <v>91</v>
      </c>
      <c r="F74" s="125" t="s">
        <v>94</v>
      </c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4">
        <f t="shared" si="6"/>
        <v>0</v>
      </c>
      <c r="V74" s="104">
        <f t="shared" si="7"/>
        <v>0</v>
      </c>
      <c r="W74" s="105"/>
    </row>
    <row r="75" ht="13.5" customHeight="1">
      <c r="A75" s="125" t="s">
        <v>32</v>
      </c>
      <c r="B75" s="125"/>
      <c r="C75" s="125"/>
      <c r="D75" s="150"/>
      <c r="E75" s="125" t="s">
        <v>91</v>
      </c>
      <c r="F75" s="125" t="s">
        <v>95</v>
      </c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4">
        <f t="shared" si="6"/>
        <v>0</v>
      </c>
      <c r="V75" s="104">
        <f t="shared" si="7"/>
        <v>0</v>
      </c>
      <c r="W75" s="105"/>
    </row>
    <row r="76" ht="13.5" customHeight="1">
      <c r="A76" s="125" t="s">
        <v>32</v>
      </c>
      <c r="B76" s="125"/>
      <c r="C76" s="125"/>
      <c r="D76" s="150"/>
      <c r="E76" s="125" t="s">
        <v>91</v>
      </c>
      <c r="F76" s="125" t="s">
        <v>96</v>
      </c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4">
        <f t="shared" si="6"/>
        <v>0</v>
      </c>
      <c r="V76" s="104">
        <f t="shared" si="7"/>
        <v>0</v>
      </c>
      <c r="W76" s="105"/>
    </row>
    <row r="77" ht="13.5" customHeight="1">
      <c r="A77" s="125" t="s">
        <v>32</v>
      </c>
      <c r="B77" s="125"/>
      <c r="C77" s="125"/>
      <c r="D77" s="150"/>
      <c r="E77" s="125" t="s">
        <v>91</v>
      </c>
      <c r="F77" s="125" t="s">
        <v>97</v>
      </c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4">
        <f t="shared" si="6"/>
        <v>0</v>
      </c>
      <c r="V77" s="104">
        <f t="shared" si="7"/>
        <v>0</v>
      </c>
      <c r="W77" s="105"/>
    </row>
    <row r="78" ht="13.5" customHeight="1">
      <c r="A78" s="125" t="s">
        <v>32</v>
      </c>
      <c r="B78" s="125"/>
      <c r="C78" s="125"/>
      <c r="D78" s="150"/>
      <c r="E78" s="125" t="s">
        <v>91</v>
      </c>
      <c r="F78" s="125" t="s">
        <v>98</v>
      </c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4">
        <f t="shared" si="6"/>
        <v>0</v>
      </c>
      <c r="V78" s="104">
        <f t="shared" si="7"/>
        <v>0</v>
      </c>
      <c r="W78" s="105"/>
    </row>
    <row r="79" ht="13.5" customHeight="1">
      <c r="A79" s="125" t="s">
        <v>32</v>
      </c>
      <c r="B79" s="125"/>
      <c r="C79" s="125"/>
      <c r="D79" s="150"/>
      <c r="E79" s="125" t="s">
        <v>91</v>
      </c>
      <c r="F79" s="125" t="s">
        <v>99</v>
      </c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4">
        <f t="shared" si="6"/>
        <v>0</v>
      </c>
      <c r="V79" s="104">
        <f t="shared" si="7"/>
        <v>0</v>
      </c>
      <c r="W79" s="105"/>
    </row>
    <row r="80" ht="20.25" customHeight="1">
      <c r="A80" s="93" t="s">
        <v>36</v>
      </c>
      <c r="B80" s="94" t="s">
        <v>37</v>
      </c>
      <c r="C80" s="94" t="s">
        <v>38</v>
      </c>
      <c r="D80" s="95"/>
      <c r="E80" s="96" t="s">
        <v>39</v>
      </c>
      <c r="F80" s="94" t="s">
        <v>40</v>
      </c>
      <c r="G80" s="97" t="s">
        <v>41</v>
      </c>
      <c r="H80" s="97" t="s">
        <v>42</v>
      </c>
      <c r="I80" s="97" t="s">
        <v>43</v>
      </c>
      <c r="J80" s="97" t="s">
        <v>12</v>
      </c>
      <c r="K80" s="97" t="s">
        <v>44</v>
      </c>
      <c r="L80" s="97" t="s">
        <v>14</v>
      </c>
      <c r="M80" s="97" t="s">
        <v>9</v>
      </c>
      <c r="N80" s="97" t="s">
        <v>10</v>
      </c>
      <c r="O80" s="97" t="s">
        <v>45</v>
      </c>
      <c r="P80" s="97" t="s">
        <v>5</v>
      </c>
      <c r="Q80" s="97" t="s">
        <v>46</v>
      </c>
      <c r="R80" s="97" t="s">
        <v>47</v>
      </c>
      <c r="S80" s="97" t="s">
        <v>48</v>
      </c>
      <c r="T80" s="97" t="s">
        <v>0</v>
      </c>
      <c r="U80" s="96" t="s">
        <v>49</v>
      </c>
      <c r="V80" s="96" t="s">
        <v>50</v>
      </c>
      <c r="W80" s="98"/>
    </row>
    <row r="81" ht="12.75" customHeight="1">
      <c r="A81" s="151" t="s">
        <v>33</v>
      </c>
      <c r="B81" s="151"/>
      <c r="C81" s="151"/>
      <c r="D81" s="152" t="s">
        <v>52</v>
      </c>
      <c r="E81" s="151" t="s">
        <v>100</v>
      </c>
      <c r="F81" s="151" t="s">
        <v>33</v>
      </c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4">
        <f t="shared" ref="U81:U88" si="8">IFERROR(I81/H81,0)</f>
        <v>0</v>
      </c>
      <c r="V81" s="104">
        <f t="shared" ref="V81:V88" si="9">IFERROR(SUM(H81+L81)/G81,0)</f>
        <v>0</v>
      </c>
      <c r="W81" s="105"/>
    </row>
    <row r="82" ht="12.75" customHeight="1">
      <c r="A82" s="153" t="s">
        <v>33</v>
      </c>
      <c r="B82" s="146"/>
      <c r="C82" s="146"/>
      <c r="D82" s="101"/>
      <c r="E82" s="111" t="s">
        <v>70</v>
      </c>
      <c r="F82" s="111" t="s">
        <v>101</v>
      </c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4">
        <f t="shared" si="8"/>
        <v>0</v>
      </c>
      <c r="V82" s="104">
        <f t="shared" si="9"/>
        <v>0</v>
      </c>
      <c r="W82" s="105"/>
    </row>
    <row r="83" ht="12.75" customHeight="1">
      <c r="A83" s="154" t="s">
        <v>33</v>
      </c>
      <c r="B83" s="154"/>
      <c r="C83" s="114" t="s">
        <v>102</v>
      </c>
      <c r="D83" s="115" t="s">
        <v>52</v>
      </c>
      <c r="E83" s="112" t="s">
        <v>64</v>
      </c>
      <c r="F83" s="114" t="s">
        <v>102</v>
      </c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4">
        <f t="shared" si="8"/>
        <v>0</v>
      </c>
      <c r="V83" s="104">
        <f t="shared" si="9"/>
        <v>0</v>
      </c>
      <c r="W83" s="105"/>
    </row>
    <row r="84" ht="12.75" customHeight="1">
      <c r="A84" s="155" t="s">
        <v>33</v>
      </c>
      <c r="B84" s="156"/>
      <c r="C84" s="155" t="s">
        <v>102</v>
      </c>
      <c r="D84" s="115"/>
      <c r="E84" s="112"/>
      <c r="F84" s="157" t="s">
        <v>103</v>
      </c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4">
        <f t="shared" si="8"/>
        <v>0</v>
      </c>
      <c r="V84" s="104">
        <f t="shared" si="9"/>
        <v>0</v>
      </c>
      <c r="W84" s="105"/>
    </row>
    <row r="85" ht="12.75" customHeight="1">
      <c r="A85" s="155" t="s">
        <v>33</v>
      </c>
      <c r="B85" s="156"/>
      <c r="C85" s="155" t="s">
        <v>102</v>
      </c>
      <c r="D85" s="115"/>
      <c r="E85" s="112"/>
      <c r="F85" s="157" t="s">
        <v>104</v>
      </c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4">
        <f t="shared" si="8"/>
        <v>0</v>
      </c>
      <c r="V85" s="104">
        <f t="shared" si="9"/>
        <v>0</v>
      </c>
      <c r="W85" s="105"/>
    </row>
    <row r="86" ht="12.75" customHeight="1">
      <c r="A86" s="155" t="s">
        <v>33</v>
      </c>
      <c r="B86" s="156"/>
      <c r="C86" s="155" t="s">
        <v>102</v>
      </c>
      <c r="D86" s="115"/>
      <c r="E86" s="112"/>
      <c r="F86" s="157" t="s">
        <v>105</v>
      </c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4">
        <f t="shared" si="8"/>
        <v>0</v>
      </c>
      <c r="V86" s="104">
        <f t="shared" si="9"/>
        <v>0</v>
      </c>
      <c r="W86" s="105"/>
    </row>
    <row r="87" ht="12.75" customHeight="1">
      <c r="A87" s="151" t="s">
        <v>33</v>
      </c>
      <c r="B87" s="151"/>
      <c r="C87" s="132" t="s">
        <v>106</v>
      </c>
      <c r="D87" s="158" t="s">
        <v>52</v>
      </c>
      <c r="E87" s="132" t="s">
        <v>107</v>
      </c>
      <c r="F87" s="132" t="s">
        <v>106</v>
      </c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4">
        <f t="shared" si="8"/>
        <v>0</v>
      </c>
      <c r="V87" s="104">
        <f t="shared" si="9"/>
        <v>0</v>
      </c>
      <c r="W87" s="105"/>
    </row>
    <row r="88" ht="12.75" customHeight="1">
      <c r="A88" s="153" t="s">
        <v>33</v>
      </c>
      <c r="B88" s="153"/>
      <c r="C88" s="125" t="s">
        <v>106</v>
      </c>
      <c r="D88" s="159"/>
      <c r="E88" s="125" t="s">
        <v>64</v>
      </c>
      <c r="F88" s="125" t="s">
        <v>108</v>
      </c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4">
        <f t="shared" si="8"/>
        <v>0</v>
      </c>
      <c r="V88" s="104">
        <f t="shared" si="9"/>
        <v>0</v>
      </c>
      <c r="W88" s="105"/>
    </row>
    <row r="89" ht="20.25" customHeight="1">
      <c r="A89" s="93" t="s">
        <v>36</v>
      </c>
      <c r="B89" s="94" t="s">
        <v>37</v>
      </c>
      <c r="C89" s="94" t="s">
        <v>38</v>
      </c>
      <c r="D89" s="95"/>
      <c r="E89" s="96" t="s">
        <v>39</v>
      </c>
      <c r="F89" s="94" t="s">
        <v>40</v>
      </c>
      <c r="G89" s="97" t="s">
        <v>41</v>
      </c>
      <c r="H89" s="97" t="s">
        <v>42</v>
      </c>
      <c r="I89" s="97" t="s">
        <v>43</v>
      </c>
      <c r="J89" s="97" t="s">
        <v>12</v>
      </c>
      <c r="K89" s="97" t="s">
        <v>44</v>
      </c>
      <c r="L89" s="97" t="s">
        <v>14</v>
      </c>
      <c r="M89" s="97" t="s">
        <v>9</v>
      </c>
      <c r="N89" s="97" t="s">
        <v>10</v>
      </c>
      <c r="O89" s="97" t="s">
        <v>45</v>
      </c>
      <c r="P89" s="97" t="s">
        <v>5</v>
      </c>
      <c r="Q89" s="97" t="s">
        <v>46</v>
      </c>
      <c r="R89" s="97" t="s">
        <v>47</v>
      </c>
      <c r="S89" s="97" t="s">
        <v>48</v>
      </c>
      <c r="T89" s="97" t="s">
        <v>0</v>
      </c>
      <c r="U89" s="96" t="s">
        <v>49</v>
      </c>
      <c r="V89" s="96" t="s">
        <v>50</v>
      </c>
      <c r="W89" s="98"/>
    </row>
    <row r="90" ht="13.5" customHeight="1">
      <c r="A90" s="160" t="s">
        <v>34</v>
      </c>
      <c r="B90" s="161"/>
      <c r="C90" s="161"/>
      <c r="D90" s="160" t="s">
        <v>52</v>
      </c>
      <c r="E90" s="160" t="s">
        <v>55</v>
      </c>
      <c r="F90" s="160" t="s">
        <v>34</v>
      </c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4">
        <f t="shared" ref="U90:U107" si="10">IFERROR(I90/H90,0)</f>
        <v>0</v>
      </c>
      <c r="V90" s="104">
        <f t="shared" ref="V90:V107" si="11">IFERROR(SUM(H90+L90)/G90,0)</f>
        <v>0</v>
      </c>
      <c r="W90" s="105"/>
    </row>
    <row r="91" ht="13.5" customHeight="1">
      <c r="A91" s="162" t="s">
        <v>34</v>
      </c>
      <c r="B91" s="161"/>
      <c r="C91" s="161"/>
      <c r="D91" s="161"/>
      <c r="E91" s="162" t="s">
        <v>64</v>
      </c>
      <c r="F91" s="162" t="s">
        <v>109</v>
      </c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4">
        <f t="shared" si="10"/>
        <v>0</v>
      </c>
      <c r="V91" s="104">
        <f t="shared" si="11"/>
        <v>0</v>
      </c>
      <c r="W91" s="105"/>
    </row>
    <row r="92" ht="13.5" customHeight="1">
      <c r="A92" s="162" t="s">
        <v>34</v>
      </c>
      <c r="B92" s="161"/>
      <c r="C92" s="161"/>
      <c r="D92" s="161"/>
      <c r="E92" s="162" t="s">
        <v>55</v>
      </c>
      <c r="F92" s="162" t="s">
        <v>110</v>
      </c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4">
        <f t="shared" si="10"/>
        <v>0</v>
      </c>
      <c r="V92" s="104">
        <f t="shared" si="11"/>
        <v>0</v>
      </c>
      <c r="W92" s="105"/>
    </row>
    <row r="93" ht="13.5" customHeight="1">
      <c r="A93" s="162" t="s">
        <v>34</v>
      </c>
      <c r="B93" s="161"/>
      <c r="C93" s="161"/>
      <c r="D93" s="161"/>
      <c r="E93" s="162" t="s">
        <v>70</v>
      </c>
      <c r="F93" s="162" t="s">
        <v>111</v>
      </c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4">
        <f t="shared" si="10"/>
        <v>0</v>
      </c>
      <c r="V93" s="104">
        <f t="shared" si="11"/>
        <v>0</v>
      </c>
      <c r="W93" s="105"/>
    </row>
    <row r="94" ht="13.5" customHeight="1">
      <c r="A94" s="162" t="s">
        <v>34</v>
      </c>
      <c r="B94" s="161"/>
      <c r="C94" s="161"/>
      <c r="D94" s="161"/>
      <c r="E94" s="162" t="s">
        <v>112</v>
      </c>
      <c r="F94" s="162" t="s">
        <v>113</v>
      </c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4">
        <f t="shared" si="10"/>
        <v>0</v>
      </c>
      <c r="V94" s="104">
        <f t="shared" si="11"/>
        <v>0</v>
      </c>
      <c r="W94" s="105"/>
    </row>
    <row r="95" ht="13.5" customHeight="1">
      <c r="A95" s="162" t="s">
        <v>34</v>
      </c>
      <c r="B95" s="161"/>
      <c r="C95" s="161"/>
      <c r="D95" s="161"/>
      <c r="E95" s="162" t="s">
        <v>55</v>
      </c>
      <c r="F95" s="162" t="s">
        <v>114</v>
      </c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4">
        <f t="shared" si="10"/>
        <v>0</v>
      </c>
      <c r="V95" s="104">
        <f t="shared" si="11"/>
        <v>0</v>
      </c>
      <c r="W95" s="105"/>
    </row>
    <row r="96" ht="13.5" customHeight="1">
      <c r="A96" s="163" t="s">
        <v>34</v>
      </c>
      <c r="B96" s="164"/>
      <c r="C96" s="163"/>
      <c r="D96" s="164"/>
      <c r="E96" s="163"/>
      <c r="F96" s="163" t="s">
        <v>115</v>
      </c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4">
        <f t="shared" si="10"/>
        <v>0</v>
      </c>
      <c r="V96" s="104">
        <f t="shared" si="11"/>
        <v>0</v>
      </c>
      <c r="W96" s="105"/>
    </row>
    <row r="97" ht="13.5" customHeight="1">
      <c r="A97" s="163" t="s">
        <v>34</v>
      </c>
      <c r="B97" s="164"/>
      <c r="C97" s="163"/>
      <c r="D97" s="164"/>
      <c r="E97" s="163"/>
      <c r="F97" s="163" t="s">
        <v>116</v>
      </c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4">
        <f t="shared" si="10"/>
        <v>0</v>
      </c>
      <c r="V97" s="104">
        <f t="shared" si="11"/>
        <v>0</v>
      </c>
      <c r="W97" s="105"/>
    </row>
    <row r="98" ht="13.5" customHeight="1">
      <c r="A98" s="163" t="s">
        <v>34</v>
      </c>
      <c r="B98" s="164"/>
      <c r="C98" s="163"/>
      <c r="D98" s="164"/>
      <c r="E98" s="163"/>
      <c r="F98" s="163" t="s">
        <v>117</v>
      </c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4">
        <f t="shared" si="10"/>
        <v>0</v>
      </c>
      <c r="V98" s="104">
        <f t="shared" si="11"/>
        <v>0</v>
      </c>
      <c r="W98" s="105"/>
    </row>
    <row r="99" ht="13.5" customHeight="1">
      <c r="A99" s="163" t="s">
        <v>34</v>
      </c>
      <c r="B99" s="164"/>
      <c r="C99" s="163"/>
      <c r="D99" s="164"/>
      <c r="E99" s="163"/>
      <c r="F99" s="163" t="s">
        <v>118</v>
      </c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4">
        <f t="shared" si="10"/>
        <v>0</v>
      </c>
      <c r="V99" s="104">
        <f t="shared" si="11"/>
        <v>0</v>
      </c>
      <c r="W99" s="105"/>
    </row>
    <row r="100" ht="13.5" customHeight="1">
      <c r="A100" s="163" t="s">
        <v>34</v>
      </c>
      <c r="B100" s="164"/>
      <c r="C100" s="163"/>
      <c r="D100" s="164"/>
      <c r="E100" s="163"/>
      <c r="F100" s="163" t="s">
        <v>119</v>
      </c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4">
        <f t="shared" si="10"/>
        <v>0</v>
      </c>
      <c r="V100" s="104">
        <f t="shared" si="11"/>
        <v>0</v>
      </c>
      <c r="W100" s="105"/>
    </row>
    <row r="101" ht="13.5" customHeight="1">
      <c r="A101" s="165" t="s">
        <v>34</v>
      </c>
      <c r="B101" s="166"/>
      <c r="C101" s="165" t="s">
        <v>120</v>
      </c>
      <c r="D101" s="167" t="s">
        <v>52</v>
      </c>
      <c r="E101" s="165" t="s">
        <v>107</v>
      </c>
      <c r="F101" s="165" t="s">
        <v>120</v>
      </c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4">
        <f t="shared" si="10"/>
        <v>0</v>
      </c>
      <c r="V101" s="104">
        <f t="shared" si="11"/>
        <v>0</v>
      </c>
      <c r="W101" s="105"/>
    </row>
    <row r="102" ht="13.5" customHeight="1">
      <c r="A102" s="168" t="s">
        <v>34</v>
      </c>
      <c r="B102" s="169"/>
      <c r="C102" s="168" t="s">
        <v>120</v>
      </c>
      <c r="D102" s="169"/>
      <c r="E102" s="168" t="s">
        <v>121</v>
      </c>
      <c r="F102" s="168" t="s">
        <v>122</v>
      </c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4">
        <f t="shared" si="10"/>
        <v>0</v>
      </c>
      <c r="V102" s="104">
        <f t="shared" si="11"/>
        <v>0</v>
      </c>
      <c r="W102" s="105"/>
    </row>
    <row r="103" ht="13.5" customHeight="1">
      <c r="A103" s="168" t="s">
        <v>34</v>
      </c>
      <c r="B103" s="169"/>
      <c r="C103" s="168" t="s">
        <v>120</v>
      </c>
      <c r="D103" s="169"/>
      <c r="E103" s="168" t="s">
        <v>123</v>
      </c>
      <c r="F103" s="168" t="s">
        <v>124</v>
      </c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4">
        <f t="shared" si="10"/>
        <v>0</v>
      </c>
      <c r="V103" s="104">
        <f t="shared" si="11"/>
        <v>0</v>
      </c>
      <c r="W103" s="105"/>
    </row>
    <row r="104" ht="13.5" customHeight="1">
      <c r="A104" s="168" t="s">
        <v>34</v>
      </c>
      <c r="B104" s="169"/>
      <c r="C104" s="168" t="s">
        <v>120</v>
      </c>
      <c r="D104" s="169"/>
      <c r="E104" s="168"/>
      <c r="F104" s="168" t="s">
        <v>122</v>
      </c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4">
        <f t="shared" si="10"/>
        <v>0</v>
      </c>
      <c r="V104" s="104">
        <f t="shared" si="11"/>
        <v>0</v>
      </c>
      <c r="W104" s="105"/>
    </row>
    <row r="105" ht="13.5" customHeight="1">
      <c r="A105" s="168" t="s">
        <v>34</v>
      </c>
      <c r="B105" s="169"/>
      <c r="C105" s="168" t="s">
        <v>120</v>
      </c>
      <c r="D105" s="169"/>
      <c r="E105" s="168"/>
      <c r="F105" s="168" t="s">
        <v>125</v>
      </c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4">
        <f t="shared" si="10"/>
        <v>0</v>
      </c>
      <c r="V105" s="104">
        <f t="shared" si="11"/>
        <v>0</v>
      </c>
      <c r="W105" s="105"/>
    </row>
    <row r="106" ht="13.5" customHeight="1">
      <c r="A106" s="160" t="s">
        <v>34</v>
      </c>
      <c r="B106" s="170"/>
      <c r="C106" s="160" t="s">
        <v>126</v>
      </c>
      <c r="D106" s="160" t="s">
        <v>52</v>
      </c>
      <c r="E106" s="160" t="s">
        <v>127</v>
      </c>
      <c r="F106" s="160" t="s">
        <v>126</v>
      </c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4">
        <f t="shared" si="10"/>
        <v>0</v>
      </c>
      <c r="V106" s="104">
        <f t="shared" si="11"/>
        <v>0</v>
      </c>
      <c r="W106" s="105"/>
    </row>
    <row r="107" ht="13.5" customHeight="1">
      <c r="A107" s="163" t="s">
        <v>34</v>
      </c>
      <c r="B107" s="164"/>
      <c r="C107" s="163" t="s">
        <v>126</v>
      </c>
      <c r="D107" s="164"/>
      <c r="E107" s="163"/>
      <c r="F107" s="163" t="s">
        <v>128</v>
      </c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4">
        <f t="shared" si="10"/>
        <v>0</v>
      </c>
      <c r="V107" s="104">
        <f t="shared" si="11"/>
        <v>0</v>
      </c>
      <c r="W107" s="105"/>
    </row>
    <row r="108" ht="20.25" customHeight="1">
      <c r="A108" s="93" t="s">
        <v>36</v>
      </c>
      <c r="B108" s="94" t="s">
        <v>37</v>
      </c>
      <c r="C108" s="94" t="s">
        <v>38</v>
      </c>
      <c r="D108" s="95"/>
      <c r="E108" s="96" t="s">
        <v>39</v>
      </c>
      <c r="F108" s="94" t="s">
        <v>40</v>
      </c>
      <c r="G108" s="97" t="s">
        <v>41</v>
      </c>
      <c r="H108" s="97" t="s">
        <v>42</v>
      </c>
      <c r="I108" s="97" t="s">
        <v>43</v>
      </c>
      <c r="J108" s="97" t="s">
        <v>12</v>
      </c>
      <c r="K108" s="97" t="s">
        <v>44</v>
      </c>
      <c r="L108" s="97" t="s">
        <v>14</v>
      </c>
      <c r="M108" s="97" t="s">
        <v>9</v>
      </c>
      <c r="N108" s="97" t="s">
        <v>10</v>
      </c>
      <c r="O108" s="97" t="s">
        <v>45</v>
      </c>
      <c r="P108" s="97" t="s">
        <v>5</v>
      </c>
      <c r="Q108" s="97" t="s">
        <v>46</v>
      </c>
      <c r="R108" s="97" t="s">
        <v>47</v>
      </c>
      <c r="S108" s="97" t="s">
        <v>48</v>
      </c>
      <c r="T108" s="97" t="s">
        <v>0</v>
      </c>
      <c r="U108" s="96" t="s">
        <v>49</v>
      </c>
      <c r="V108" s="96" t="s">
        <v>50</v>
      </c>
      <c r="W108" s="98"/>
    </row>
    <row r="109" ht="12.75" customHeight="1">
      <c r="A109" s="132" t="s">
        <v>35</v>
      </c>
      <c r="B109" s="150"/>
      <c r="C109" s="132"/>
      <c r="D109" s="132" t="s">
        <v>52</v>
      </c>
      <c r="E109" s="132" t="s">
        <v>64</v>
      </c>
      <c r="F109" s="132" t="s">
        <v>35</v>
      </c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42">
        <f t="shared" ref="U109:U110" si="12">IFERROR(I109/H109,0)</f>
        <v>0</v>
      </c>
      <c r="V109" s="142">
        <f t="shared" ref="V109:V110" si="13">IFERROR(SUM(H109+L109)/G109,0)</f>
        <v>0</v>
      </c>
      <c r="W109" s="143"/>
    </row>
    <row r="110" ht="12.75" customHeight="1">
      <c r="A110" s="112" t="s">
        <v>35</v>
      </c>
      <c r="B110" s="128"/>
      <c r="C110" s="112" t="s">
        <v>129</v>
      </c>
      <c r="D110" s="112" t="s">
        <v>52</v>
      </c>
      <c r="E110" s="112"/>
      <c r="F110" s="112" t="s">
        <v>129</v>
      </c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42">
        <f t="shared" si="12"/>
        <v>0</v>
      </c>
      <c r="V110" s="142">
        <f t="shared" si="13"/>
        <v>0</v>
      </c>
      <c r="W110" s="143"/>
    </row>
    <row r="111" ht="12.75" customHeight="1">
      <c r="A111" s="171"/>
      <c r="B111" s="171"/>
      <c r="C111" s="171"/>
      <c r="D111" s="1"/>
      <c r="E111" s="171"/>
      <c r="F111" s="172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4"/>
      <c r="V111" s="174"/>
      <c r="W111" s="174"/>
    </row>
    <row r="112" ht="12.75" customHeight="1">
      <c r="A112" s="171"/>
      <c r="B112" s="171"/>
      <c r="C112" s="171"/>
      <c r="D112" s="1"/>
      <c r="E112" s="171"/>
      <c r="F112" s="172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4"/>
      <c r="V112" s="174"/>
      <c r="W112" s="174"/>
    </row>
    <row r="113" ht="12.75" customHeight="1">
      <c r="A113" s="171"/>
      <c r="B113" s="171"/>
      <c r="C113" s="171"/>
      <c r="D113" s="1"/>
      <c r="E113" s="171"/>
      <c r="F113" s="172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4"/>
      <c r="V113" s="174"/>
      <c r="W113" s="174"/>
    </row>
    <row r="114" ht="12.75" customHeight="1">
      <c r="A114" s="171"/>
      <c r="B114" s="171"/>
      <c r="C114" s="171"/>
      <c r="D114" s="1"/>
      <c r="E114" s="171"/>
      <c r="F114" s="172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4"/>
      <c r="V114" s="174"/>
      <c r="W114" s="174"/>
    </row>
    <row r="115" ht="12.75" customHeight="1">
      <c r="A115" s="171"/>
      <c r="B115" s="171"/>
      <c r="C115" s="171"/>
      <c r="D115" s="1"/>
      <c r="E115" s="171"/>
      <c r="F115" s="172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4"/>
      <c r="V115" s="174"/>
      <c r="W115" s="174"/>
    </row>
    <row r="116" ht="12.75" customHeight="1">
      <c r="A116" s="171"/>
      <c r="B116" s="171"/>
      <c r="C116" s="171"/>
      <c r="D116" s="1"/>
      <c r="E116" s="171"/>
      <c r="F116" s="172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4"/>
      <c r="V116" s="174"/>
      <c r="W116" s="174"/>
    </row>
    <row r="117" ht="12.75" customHeight="1">
      <c r="A117" s="171"/>
      <c r="B117" s="171"/>
      <c r="C117" s="171"/>
      <c r="D117" s="1"/>
      <c r="E117" s="171"/>
      <c r="F117" s="172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4"/>
      <c r="V117" s="174"/>
      <c r="W117" s="174"/>
    </row>
    <row r="118" ht="12.75" customHeight="1">
      <c r="A118" s="171"/>
      <c r="B118" s="171"/>
      <c r="C118" s="171"/>
      <c r="D118" s="1"/>
      <c r="E118" s="171"/>
      <c r="F118" s="172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4"/>
      <c r="V118" s="174"/>
      <c r="W118" s="174"/>
    </row>
    <row r="119" ht="12.75" customHeight="1">
      <c r="A119" s="171"/>
      <c r="B119" s="171"/>
      <c r="C119" s="171"/>
      <c r="D119" s="1"/>
      <c r="E119" s="171"/>
      <c r="F119" s="172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4"/>
      <c r="V119" s="174"/>
      <c r="W119" s="174"/>
    </row>
    <row r="120" ht="12.75" customHeight="1">
      <c r="A120" s="171"/>
      <c r="B120" s="171"/>
      <c r="C120" s="171"/>
      <c r="D120" s="1"/>
      <c r="E120" s="171"/>
      <c r="F120" s="172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4"/>
      <c r="V120" s="174"/>
      <c r="W120" s="174"/>
    </row>
    <row r="121" ht="12.75" customHeight="1">
      <c r="A121" s="171"/>
      <c r="B121" s="171"/>
      <c r="C121" s="171"/>
      <c r="D121" s="1"/>
      <c r="E121" s="171"/>
      <c r="F121" s="172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4"/>
      <c r="V121" s="174"/>
      <c r="W121" s="174"/>
    </row>
    <row r="122" ht="12.75" customHeight="1">
      <c r="A122" s="171"/>
      <c r="B122" s="171"/>
      <c r="C122" s="171"/>
      <c r="D122" s="1"/>
      <c r="E122" s="171"/>
      <c r="F122" s="172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4"/>
      <c r="V122" s="174"/>
      <c r="W122" s="174"/>
    </row>
    <row r="123" ht="12.75" customHeight="1">
      <c r="A123" s="171"/>
      <c r="B123" s="171"/>
      <c r="C123" s="171"/>
      <c r="D123" s="1"/>
      <c r="E123" s="171"/>
      <c r="F123" s="172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4"/>
      <c r="V123" s="174"/>
      <c r="W123" s="174"/>
    </row>
    <row r="124" ht="12.75" customHeight="1">
      <c r="A124" s="171"/>
      <c r="B124" s="171"/>
      <c r="C124" s="171"/>
      <c r="D124" s="1"/>
      <c r="E124" s="171"/>
      <c r="F124" s="172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4"/>
      <c r="V124" s="174"/>
      <c r="W124" s="174"/>
    </row>
    <row r="125" ht="12.75" customHeight="1">
      <c r="A125" s="171"/>
      <c r="B125" s="171"/>
      <c r="C125" s="171"/>
      <c r="D125" s="1"/>
      <c r="E125" s="171"/>
      <c r="F125" s="172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4"/>
      <c r="V125" s="174"/>
      <c r="W125" s="174"/>
    </row>
    <row r="126" ht="12.75" customHeight="1">
      <c r="A126" s="171"/>
      <c r="B126" s="171"/>
      <c r="C126" s="171"/>
      <c r="D126" s="1"/>
      <c r="E126" s="171"/>
      <c r="F126" s="172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4"/>
      <c r="V126" s="174"/>
      <c r="W126" s="174"/>
    </row>
    <row r="127" ht="12.75" customHeight="1">
      <c r="A127" s="171"/>
      <c r="B127" s="171"/>
      <c r="C127" s="171"/>
      <c r="D127" s="1"/>
      <c r="E127" s="171"/>
      <c r="F127" s="172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4"/>
      <c r="V127" s="174"/>
      <c r="W127" s="174"/>
    </row>
    <row r="128" ht="12.75" customHeight="1">
      <c r="A128" s="171"/>
      <c r="B128" s="171"/>
      <c r="C128" s="171"/>
      <c r="D128" s="1"/>
      <c r="E128" s="171"/>
      <c r="F128" s="172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4"/>
      <c r="V128" s="174"/>
      <c r="W128" s="174"/>
    </row>
    <row r="129" ht="12.75" customHeight="1">
      <c r="A129" s="171"/>
      <c r="B129" s="171"/>
      <c r="C129" s="171"/>
      <c r="D129" s="1"/>
      <c r="E129" s="171"/>
      <c r="F129" s="172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4"/>
      <c r="V129" s="174"/>
      <c r="W129" s="174"/>
    </row>
    <row r="130" ht="12.75" customHeight="1">
      <c r="A130" s="171"/>
      <c r="B130" s="171"/>
      <c r="C130" s="171"/>
      <c r="D130" s="1"/>
      <c r="E130" s="171"/>
      <c r="F130" s="172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4"/>
      <c r="V130" s="174"/>
      <c r="W130" s="174"/>
    </row>
    <row r="131" ht="12.75" customHeight="1">
      <c r="A131" s="171"/>
      <c r="B131" s="171"/>
      <c r="C131" s="171"/>
      <c r="D131" s="1"/>
      <c r="E131" s="171"/>
      <c r="F131" s="172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4"/>
      <c r="V131" s="174"/>
      <c r="W131" s="174"/>
    </row>
    <row r="132" ht="12.75" customHeight="1">
      <c r="A132" s="171"/>
      <c r="B132" s="171"/>
      <c r="C132" s="171"/>
      <c r="D132" s="1"/>
      <c r="E132" s="171"/>
      <c r="F132" s="172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4"/>
      <c r="V132" s="174"/>
      <c r="W132" s="174"/>
    </row>
    <row r="133" ht="12.75" customHeight="1">
      <c r="A133" s="171"/>
      <c r="B133" s="171"/>
      <c r="C133" s="171"/>
      <c r="D133" s="1"/>
      <c r="E133" s="171"/>
      <c r="F133" s="172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4"/>
      <c r="V133" s="174"/>
      <c r="W133" s="174"/>
    </row>
    <row r="134" ht="12.75" customHeight="1">
      <c r="A134" s="171"/>
      <c r="B134" s="171"/>
      <c r="C134" s="171"/>
      <c r="D134" s="1"/>
      <c r="E134" s="171"/>
      <c r="F134" s="172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4"/>
      <c r="V134" s="174"/>
      <c r="W134" s="174"/>
    </row>
    <row r="135" ht="12.75" customHeight="1">
      <c r="A135" s="171"/>
      <c r="B135" s="171"/>
      <c r="C135" s="171"/>
      <c r="D135" s="1"/>
      <c r="E135" s="171"/>
      <c r="F135" s="172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4"/>
      <c r="V135" s="174"/>
      <c r="W135" s="174"/>
    </row>
    <row r="136" ht="12.75" customHeight="1">
      <c r="A136" s="171"/>
      <c r="B136" s="171"/>
      <c r="C136" s="171"/>
      <c r="D136" s="1"/>
      <c r="E136" s="171"/>
      <c r="F136" s="172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4"/>
      <c r="V136" s="174"/>
      <c r="W136" s="174"/>
    </row>
    <row r="137" ht="12.75" customHeight="1">
      <c r="A137" s="171"/>
      <c r="B137" s="171"/>
      <c r="C137" s="171"/>
      <c r="D137" s="1"/>
      <c r="E137" s="171"/>
      <c r="F137" s="172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4"/>
      <c r="V137" s="174"/>
      <c r="W137" s="174"/>
    </row>
    <row r="138" ht="12.75" customHeight="1">
      <c r="A138" s="171"/>
      <c r="B138" s="171"/>
      <c r="C138" s="171"/>
      <c r="D138" s="1"/>
      <c r="E138" s="171"/>
      <c r="F138" s="172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4"/>
      <c r="V138" s="174"/>
      <c r="W138" s="174"/>
    </row>
    <row r="139" ht="12.75" customHeight="1">
      <c r="A139" s="171"/>
      <c r="B139" s="171"/>
      <c r="C139" s="171"/>
      <c r="D139" s="1"/>
      <c r="E139" s="171"/>
      <c r="F139" s="172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4"/>
      <c r="V139" s="174"/>
      <c r="W139" s="174"/>
    </row>
    <row r="140" ht="12.75" customHeight="1">
      <c r="A140" s="171"/>
      <c r="B140" s="171"/>
      <c r="C140" s="171"/>
      <c r="D140" s="1"/>
      <c r="E140" s="171"/>
      <c r="F140" s="172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4"/>
      <c r="V140" s="174"/>
      <c r="W140" s="174"/>
    </row>
    <row r="141" ht="12.75" customHeight="1">
      <c r="A141" s="171"/>
      <c r="B141" s="171"/>
      <c r="C141" s="171"/>
      <c r="D141" s="1"/>
      <c r="E141" s="171"/>
      <c r="F141" s="172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4"/>
      <c r="V141" s="174"/>
      <c r="W141" s="174"/>
    </row>
    <row r="142" ht="12.75" customHeight="1">
      <c r="A142" s="171"/>
      <c r="B142" s="171"/>
      <c r="C142" s="171"/>
      <c r="D142" s="1"/>
      <c r="E142" s="171"/>
      <c r="F142" s="172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4"/>
      <c r="V142" s="174"/>
      <c r="W142" s="174"/>
    </row>
    <row r="143" ht="12.75" customHeight="1">
      <c r="A143" s="171"/>
      <c r="B143" s="171"/>
      <c r="C143" s="171"/>
      <c r="D143" s="1"/>
      <c r="E143" s="171"/>
      <c r="F143" s="172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4"/>
      <c r="V143" s="174"/>
      <c r="W143" s="174"/>
    </row>
    <row r="144" ht="12.75" customHeight="1">
      <c r="A144" s="171"/>
      <c r="B144" s="171"/>
      <c r="C144" s="171"/>
      <c r="D144" s="1"/>
      <c r="E144" s="171"/>
      <c r="F144" s="172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4"/>
      <c r="V144" s="174"/>
      <c r="W144" s="174"/>
    </row>
    <row r="145" ht="12.75" customHeight="1">
      <c r="A145" s="171"/>
      <c r="B145" s="171"/>
      <c r="C145" s="171"/>
      <c r="D145" s="1"/>
      <c r="E145" s="171"/>
      <c r="F145" s="172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4"/>
      <c r="V145" s="174"/>
      <c r="W145" s="174"/>
    </row>
    <row r="146" ht="12.75" customHeight="1">
      <c r="A146" s="171"/>
      <c r="B146" s="171"/>
      <c r="C146" s="171"/>
      <c r="D146" s="1"/>
      <c r="E146" s="171"/>
      <c r="F146" s="172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4"/>
      <c r="V146" s="174"/>
      <c r="W146" s="174"/>
    </row>
    <row r="147" ht="12.75" customHeight="1">
      <c r="A147" s="171"/>
      <c r="B147" s="171"/>
      <c r="C147" s="171"/>
      <c r="D147" s="1"/>
      <c r="E147" s="171"/>
      <c r="F147" s="172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4"/>
      <c r="V147" s="174"/>
      <c r="W147" s="174"/>
    </row>
    <row r="148" ht="12.75" customHeight="1">
      <c r="A148" s="171"/>
      <c r="B148" s="171"/>
      <c r="C148" s="171"/>
      <c r="D148" s="1"/>
      <c r="E148" s="171"/>
      <c r="F148" s="172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4"/>
      <c r="V148" s="174"/>
      <c r="W148" s="174"/>
    </row>
    <row r="149" ht="12.75" customHeight="1">
      <c r="A149" s="171"/>
      <c r="B149" s="171"/>
      <c r="C149" s="171"/>
      <c r="D149" s="1"/>
      <c r="E149" s="171"/>
      <c r="F149" s="172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4"/>
      <c r="V149" s="174"/>
      <c r="W149" s="174"/>
    </row>
    <row r="150" ht="12.75" customHeight="1">
      <c r="A150" s="171"/>
      <c r="B150" s="171"/>
      <c r="C150" s="171"/>
      <c r="D150" s="1"/>
      <c r="E150" s="171"/>
      <c r="F150" s="172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4"/>
      <c r="V150" s="174"/>
      <c r="W150" s="174"/>
    </row>
    <row r="151" ht="12.75" customHeight="1">
      <c r="A151" s="171"/>
      <c r="B151" s="171"/>
      <c r="C151" s="171"/>
      <c r="D151" s="1"/>
      <c r="E151" s="171"/>
      <c r="F151" s="172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4"/>
      <c r="V151" s="174"/>
      <c r="W151" s="174"/>
    </row>
    <row r="152" ht="12.75" customHeight="1">
      <c r="A152" s="171"/>
      <c r="B152" s="171"/>
      <c r="C152" s="171"/>
      <c r="D152" s="1"/>
      <c r="E152" s="171"/>
      <c r="F152" s="172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4"/>
      <c r="V152" s="174"/>
      <c r="W152" s="174"/>
    </row>
    <row r="153" ht="12.75" customHeight="1">
      <c r="A153" s="171"/>
      <c r="B153" s="171"/>
      <c r="C153" s="171"/>
      <c r="D153" s="1"/>
      <c r="E153" s="171"/>
      <c r="F153" s="172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4"/>
      <c r="V153" s="174"/>
      <c r="W153" s="174"/>
    </row>
    <row r="154" ht="12.75" customHeight="1">
      <c r="A154" s="171"/>
      <c r="B154" s="171"/>
      <c r="C154" s="171"/>
      <c r="D154" s="1"/>
      <c r="E154" s="171"/>
      <c r="F154" s="172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4"/>
      <c r="V154" s="174"/>
      <c r="W154" s="174"/>
    </row>
    <row r="155" ht="12.75" customHeight="1">
      <c r="A155" s="171"/>
      <c r="B155" s="171"/>
      <c r="C155" s="171"/>
      <c r="D155" s="1"/>
      <c r="E155" s="171"/>
      <c r="F155" s="172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4"/>
      <c r="V155" s="174"/>
      <c r="W155" s="174"/>
    </row>
    <row r="156" ht="12.75" customHeight="1">
      <c r="A156" s="171"/>
      <c r="B156" s="171"/>
      <c r="C156" s="171"/>
      <c r="D156" s="1"/>
      <c r="E156" s="171"/>
      <c r="F156" s="172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4"/>
      <c r="V156" s="174"/>
      <c r="W156" s="174"/>
    </row>
    <row r="157" ht="12.75" customHeight="1">
      <c r="A157" s="171"/>
      <c r="B157" s="171"/>
      <c r="C157" s="171"/>
      <c r="D157" s="1"/>
      <c r="E157" s="171"/>
      <c r="F157" s="172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4"/>
      <c r="V157" s="174"/>
      <c r="W157" s="174"/>
    </row>
    <row r="158" ht="12.75" customHeight="1">
      <c r="A158" s="171"/>
      <c r="B158" s="171"/>
      <c r="C158" s="171"/>
      <c r="D158" s="1"/>
      <c r="E158" s="171"/>
      <c r="F158" s="172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4"/>
      <c r="V158" s="174"/>
      <c r="W158" s="174"/>
    </row>
    <row r="159" ht="12.75" customHeight="1">
      <c r="A159" s="171"/>
      <c r="B159" s="171"/>
      <c r="C159" s="171"/>
      <c r="D159" s="1"/>
      <c r="E159" s="171"/>
      <c r="F159" s="172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4"/>
      <c r="V159" s="174"/>
      <c r="W159" s="174"/>
    </row>
    <row r="160" ht="12.75" customHeight="1">
      <c r="A160" s="171"/>
      <c r="B160" s="171"/>
      <c r="C160" s="171"/>
      <c r="D160" s="1"/>
      <c r="E160" s="171"/>
      <c r="F160" s="172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4"/>
      <c r="V160" s="174"/>
      <c r="W160" s="174"/>
    </row>
    <row r="161" ht="12.75" customHeight="1">
      <c r="A161" s="171"/>
      <c r="B161" s="171"/>
      <c r="C161" s="171"/>
      <c r="D161" s="1"/>
      <c r="E161" s="171"/>
      <c r="F161" s="172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4"/>
      <c r="V161" s="174"/>
      <c r="W161" s="174"/>
    </row>
    <row r="162" ht="12.75" customHeight="1">
      <c r="A162" s="171"/>
      <c r="B162" s="171"/>
      <c r="C162" s="171"/>
      <c r="D162" s="1"/>
      <c r="E162" s="171"/>
      <c r="F162" s="172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4"/>
      <c r="V162" s="174"/>
      <c r="W162" s="174"/>
    </row>
    <row r="163" ht="12.75" customHeight="1">
      <c r="A163" s="171"/>
      <c r="B163" s="171"/>
      <c r="C163" s="171"/>
      <c r="D163" s="1"/>
      <c r="E163" s="171"/>
      <c r="F163" s="172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4"/>
      <c r="V163" s="174"/>
      <c r="W163" s="174"/>
    </row>
    <row r="164" ht="12.75" customHeight="1">
      <c r="A164" s="171"/>
      <c r="B164" s="171"/>
      <c r="C164" s="171"/>
      <c r="D164" s="1"/>
      <c r="E164" s="171"/>
      <c r="F164" s="172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4"/>
      <c r="V164" s="174"/>
      <c r="W164" s="174"/>
    </row>
    <row r="165" ht="12.75" customHeight="1">
      <c r="A165" s="171"/>
      <c r="B165" s="171"/>
      <c r="C165" s="171"/>
      <c r="D165" s="1"/>
      <c r="E165" s="171"/>
      <c r="F165" s="172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4"/>
      <c r="V165" s="174"/>
      <c r="W165" s="174"/>
    </row>
    <row r="166" ht="12.75" customHeight="1">
      <c r="A166" s="171"/>
      <c r="B166" s="171"/>
      <c r="C166" s="171"/>
      <c r="D166" s="1"/>
      <c r="E166" s="171"/>
      <c r="F166" s="172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4"/>
      <c r="V166" s="174"/>
      <c r="W166" s="174"/>
    </row>
    <row r="167" ht="12.75" customHeight="1">
      <c r="A167" s="171"/>
      <c r="B167" s="171"/>
      <c r="C167" s="171"/>
      <c r="D167" s="1"/>
      <c r="E167" s="171"/>
      <c r="F167" s="172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4"/>
      <c r="V167" s="174"/>
      <c r="W167" s="174"/>
    </row>
    <row r="168" ht="12.75" customHeight="1">
      <c r="A168" s="171"/>
      <c r="B168" s="171"/>
      <c r="C168" s="171"/>
      <c r="D168" s="1"/>
      <c r="E168" s="171"/>
      <c r="F168" s="172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4"/>
      <c r="V168" s="174"/>
      <c r="W168" s="174"/>
    </row>
    <row r="169" ht="12.75" customHeight="1">
      <c r="A169" s="171"/>
      <c r="B169" s="171"/>
      <c r="C169" s="171"/>
      <c r="D169" s="1"/>
      <c r="E169" s="171"/>
      <c r="F169" s="172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4"/>
      <c r="V169" s="174"/>
      <c r="W169" s="174"/>
    </row>
    <row r="170" ht="12.75" customHeight="1">
      <c r="A170" s="171"/>
      <c r="B170" s="171"/>
      <c r="C170" s="171"/>
      <c r="D170" s="1"/>
      <c r="E170" s="171"/>
      <c r="F170" s="172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4"/>
      <c r="V170" s="174"/>
      <c r="W170" s="174"/>
    </row>
    <row r="171" ht="12.75" customHeight="1">
      <c r="A171" s="171"/>
      <c r="B171" s="171"/>
      <c r="C171" s="171"/>
      <c r="D171" s="1"/>
      <c r="E171" s="171"/>
      <c r="F171" s="172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4"/>
      <c r="V171" s="174"/>
      <c r="W171" s="174"/>
    </row>
    <row r="172" ht="12.75" customHeight="1">
      <c r="A172" s="171"/>
      <c r="B172" s="171"/>
      <c r="C172" s="171"/>
      <c r="D172" s="1"/>
      <c r="E172" s="171"/>
      <c r="F172" s="172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4"/>
      <c r="V172" s="174"/>
      <c r="W172" s="174"/>
    </row>
    <row r="173" ht="12.75" customHeight="1">
      <c r="A173" s="171"/>
      <c r="B173" s="171"/>
      <c r="C173" s="171"/>
      <c r="D173" s="1"/>
      <c r="E173" s="171"/>
      <c r="F173" s="172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4"/>
      <c r="V173" s="174"/>
      <c r="W173" s="174"/>
    </row>
    <row r="174" ht="12.75" customHeight="1">
      <c r="A174" s="171"/>
      <c r="B174" s="171"/>
      <c r="C174" s="171"/>
      <c r="D174" s="1"/>
      <c r="E174" s="171"/>
      <c r="F174" s="172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4"/>
      <c r="V174" s="174"/>
      <c r="W174" s="174"/>
    </row>
    <row r="175" ht="12.75" customHeight="1">
      <c r="A175" s="171"/>
      <c r="B175" s="171"/>
      <c r="C175" s="171"/>
      <c r="D175" s="1"/>
      <c r="E175" s="171"/>
      <c r="F175" s="172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4"/>
      <c r="V175" s="174"/>
      <c r="W175" s="174"/>
    </row>
    <row r="176" ht="12.75" customHeight="1">
      <c r="A176" s="171"/>
      <c r="B176" s="171"/>
      <c r="C176" s="171"/>
      <c r="D176" s="1"/>
      <c r="E176" s="171"/>
      <c r="F176" s="172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4"/>
      <c r="V176" s="174"/>
      <c r="W176" s="174"/>
    </row>
    <row r="177" ht="12.75" customHeight="1">
      <c r="A177" s="171"/>
      <c r="B177" s="171"/>
      <c r="C177" s="171"/>
      <c r="D177" s="1"/>
      <c r="E177" s="171"/>
      <c r="F177" s="172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4"/>
      <c r="V177" s="174"/>
      <c r="W177" s="174"/>
    </row>
    <row r="178" ht="12.75" customHeight="1">
      <c r="A178" s="171"/>
      <c r="B178" s="171"/>
      <c r="C178" s="171"/>
      <c r="D178" s="1"/>
      <c r="E178" s="171"/>
      <c r="F178" s="172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4"/>
      <c r="V178" s="174"/>
      <c r="W178" s="174"/>
    </row>
    <row r="179" ht="12.75" customHeight="1">
      <c r="A179" s="171"/>
      <c r="B179" s="171"/>
      <c r="C179" s="171"/>
      <c r="D179" s="1"/>
      <c r="E179" s="171"/>
      <c r="F179" s="172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4"/>
      <c r="V179" s="174"/>
      <c r="W179" s="174"/>
    </row>
    <row r="180" ht="12.75" customHeight="1">
      <c r="A180" s="171"/>
      <c r="B180" s="171"/>
      <c r="C180" s="171"/>
      <c r="D180" s="1"/>
      <c r="E180" s="171"/>
      <c r="F180" s="172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4"/>
      <c r="V180" s="174"/>
      <c r="W180" s="174"/>
    </row>
    <row r="181" ht="12.75" customHeight="1">
      <c r="A181" s="171"/>
      <c r="B181" s="171"/>
      <c r="C181" s="171"/>
      <c r="D181" s="1"/>
      <c r="E181" s="171"/>
      <c r="F181" s="172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4"/>
      <c r="V181" s="174"/>
      <c r="W181" s="174"/>
    </row>
    <row r="182" ht="12.75" customHeight="1">
      <c r="A182" s="171"/>
      <c r="B182" s="171"/>
      <c r="C182" s="171"/>
      <c r="D182" s="1"/>
      <c r="E182" s="171"/>
      <c r="F182" s="172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4"/>
      <c r="V182" s="174"/>
      <c r="W182" s="174"/>
    </row>
    <row r="183" ht="12.75" customHeight="1">
      <c r="A183" s="171"/>
      <c r="B183" s="171"/>
      <c r="C183" s="171"/>
      <c r="D183" s="1"/>
      <c r="E183" s="171"/>
      <c r="F183" s="172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4"/>
      <c r="V183" s="174"/>
      <c r="W183" s="174"/>
    </row>
    <row r="184" ht="12.75" customHeight="1">
      <c r="A184" s="171"/>
      <c r="B184" s="171"/>
      <c r="C184" s="171"/>
      <c r="D184" s="1"/>
      <c r="E184" s="171"/>
      <c r="F184" s="172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4"/>
      <c r="V184" s="174"/>
      <c r="W184" s="174"/>
    </row>
    <row r="185" ht="12.75" customHeight="1">
      <c r="A185" s="171"/>
      <c r="B185" s="171"/>
      <c r="C185" s="171"/>
      <c r="D185" s="1"/>
      <c r="E185" s="171"/>
      <c r="F185" s="172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4"/>
      <c r="V185" s="174"/>
      <c r="W185" s="174"/>
    </row>
    <row r="186" ht="12.75" customHeight="1">
      <c r="A186" s="171"/>
      <c r="B186" s="171"/>
      <c r="C186" s="171"/>
      <c r="D186" s="1"/>
      <c r="E186" s="171"/>
      <c r="F186" s="172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4"/>
      <c r="V186" s="174"/>
      <c r="W186" s="174"/>
    </row>
    <row r="187" ht="12.75" customHeight="1">
      <c r="A187" s="171"/>
      <c r="B187" s="171"/>
      <c r="C187" s="171"/>
      <c r="D187" s="1"/>
      <c r="E187" s="171"/>
      <c r="F187" s="172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4"/>
      <c r="V187" s="174"/>
      <c r="W187" s="174"/>
    </row>
    <row r="188" ht="12.75" customHeight="1">
      <c r="A188" s="171"/>
      <c r="B188" s="171"/>
      <c r="C188" s="171"/>
      <c r="D188" s="1"/>
      <c r="E188" s="171"/>
      <c r="F188" s="172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4"/>
      <c r="V188" s="174"/>
      <c r="W188" s="174"/>
    </row>
    <row r="189" ht="12.75" customHeight="1">
      <c r="A189" s="171"/>
      <c r="B189" s="171"/>
      <c r="C189" s="171"/>
      <c r="D189" s="1"/>
      <c r="E189" s="171"/>
      <c r="F189" s="172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4"/>
      <c r="V189" s="174"/>
      <c r="W189" s="174"/>
    </row>
    <row r="190" ht="12.75" customHeight="1">
      <c r="A190" s="171"/>
      <c r="B190" s="171"/>
      <c r="C190" s="171"/>
      <c r="D190" s="1"/>
      <c r="E190" s="171"/>
      <c r="F190" s="172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4"/>
      <c r="V190" s="174"/>
      <c r="W190" s="174"/>
    </row>
    <row r="191" ht="12.75" customHeight="1">
      <c r="A191" s="171"/>
      <c r="B191" s="171"/>
      <c r="C191" s="171"/>
      <c r="D191" s="1"/>
      <c r="E191" s="171"/>
      <c r="F191" s="172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4"/>
      <c r="V191" s="174"/>
      <c r="W191" s="174"/>
    </row>
    <row r="192" ht="12.75" customHeight="1">
      <c r="A192" s="171"/>
      <c r="B192" s="171"/>
      <c r="C192" s="171"/>
      <c r="D192" s="1"/>
      <c r="E192" s="171"/>
      <c r="F192" s="172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4"/>
      <c r="V192" s="174"/>
      <c r="W192" s="174"/>
    </row>
    <row r="193" ht="12.75" customHeight="1">
      <c r="A193" s="171"/>
      <c r="B193" s="171"/>
      <c r="C193" s="171"/>
      <c r="D193" s="1"/>
      <c r="E193" s="171"/>
      <c r="F193" s="172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4"/>
      <c r="V193" s="174"/>
      <c r="W193" s="174"/>
    </row>
    <row r="194" ht="12.75" customHeight="1">
      <c r="A194" s="171"/>
      <c r="B194" s="171"/>
      <c r="C194" s="171"/>
      <c r="D194" s="1"/>
      <c r="E194" s="171"/>
      <c r="F194" s="172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4"/>
      <c r="V194" s="174"/>
      <c r="W194" s="174"/>
    </row>
    <row r="195" ht="12.75" customHeight="1">
      <c r="A195" s="171"/>
      <c r="B195" s="171"/>
      <c r="C195" s="171"/>
      <c r="D195" s="1"/>
      <c r="E195" s="171"/>
      <c r="F195" s="172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4"/>
      <c r="V195" s="174"/>
      <c r="W195" s="174"/>
    </row>
    <row r="196" ht="12.75" customHeight="1">
      <c r="A196" s="171"/>
      <c r="B196" s="171"/>
      <c r="C196" s="171"/>
      <c r="D196" s="1"/>
      <c r="E196" s="171"/>
      <c r="F196" s="172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4"/>
      <c r="V196" s="174"/>
      <c r="W196" s="174"/>
    </row>
    <row r="197" ht="12.75" customHeight="1">
      <c r="A197" s="171"/>
      <c r="B197" s="171"/>
      <c r="C197" s="171"/>
      <c r="D197" s="1"/>
      <c r="E197" s="171"/>
      <c r="F197" s="172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4"/>
      <c r="V197" s="174"/>
      <c r="W197" s="174"/>
    </row>
    <row r="198" ht="12.75" customHeight="1">
      <c r="A198" s="171"/>
      <c r="B198" s="171"/>
      <c r="C198" s="171"/>
      <c r="D198" s="1"/>
      <c r="E198" s="171"/>
      <c r="F198" s="172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4"/>
      <c r="V198" s="174"/>
      <c r="W198" s="174"/>
    </row>
    <row r="199" ht="12.75" customHeight="1">
      <c r="A199" s="171"/>
      <c r="B199" s="171"/>
      <c r="C199" s="171"/>
      <c r="D199" s="1"/>
      <c r="E199" s="171"/>
      <c r="F199" s="172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4"/>
      <c r="V199" s="174"/>
      <c r="W199" s="174"/>
    </row>
    <row r="200" ht="12.75" customHeight="1">
      <c r="A200" s="171"/>
      <c r="B200" s="171"/>
      <c r="C200" s="171"/>
      <c r="D200" s="1"/>
      <c r="E200" s="171"/>
      <c r="F200" s="172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4"/>
      <c r="V200" s="174"/>
      <c r="W200" s="174"/>
    </row>
    <row r="201" ht="12.75" customHeight="1">
      <c r="A201" s="171"/>
      <c r="B201" s="171"/>
      <c r="C201" s="171"/>
      <c r="D201" s="1"/>
      <c r="E201" s="171"/>
      <c r="F201" s="172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4"/>
      <c r="V201" s="174"/>
      <c r="W201" s="174"/>
    </row>
    <row r="202" ht="12.75" customHeight="1">
      <c r="A202" s="171"/>
      <c r="B202" s="171"/>
      <c r="C202" s="171"/>
      <c r="D202" s="1"/>
      <c r="E202" s="171"/>
      <c r="F202" s="172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4"/>
      <c r="V202" s="174"/>
      <c r="W202" s="174"/>
    </row>
    <row r="203" ht="12.75" customHeight="1">
      <c r="A203" s="171"/>
      <c r="B203" s="171"/>
      <c r="C203" s="171"/>
      <c r="D203" s="1"/>
      <c r="E203" s="171"/>
      <c r="F203" s="172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4"/>
      <c r="V203" s="174"/>
      <c r="W203" s="174"/>
    </row>
    <row r="204" ht="12.75" customHeight="1">
      <c r="A204" s="171"/>
      <c r="B204" s="171"/>
      <c r="C204" s="171"/>
      <c r="D204" s="1"/>
      <c r="E204" s="171"/>
      <c r="F204" s="172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4"/>
      <c r="V204" s="174"/>
      <c r="W204" s="174"/>
    </row>
    <row r="205" ht="12.75" customHeight="1">
      <c r="A205" s="171"/>
      <c r="B205" s="171"/>
      <c r="C205" s="171"/>
      <c r="D205" s="1"/>
      <c r="E205" s="171"/>
      <c r="F205" s="172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4"/>
      <c r="V205" s="174"/>
      <c r="W205" s="174"/>
    </row>
    <row r="206" ht="12.75" customHeight="1">
      <c r="A206" s="171"/>
      <c r="B206" s="171"/>
      <c r="C206" s="171"/>
      <c r="D206" s="1"/>
      <c r="E206" s="171"/>
      <c r="F206" s="172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4"/>
      <c r="V206" s="174"/>
      <c r="W206" s="174"/>
    </row>
    <row r="207" ht="12.75" customHeight="1">
      <c r="A207" s="171"/>
      <c r="B207" s="171"/>
      <c r="C207" s="171"/>
      <c r="D207" s="1"/>
      <c r="E207" s="171"/>
      <c r="F207" s="172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4"/>
      <c r="V207" s="174"/>
      <c r="W207" s="174"/>
    </row>
    <row r="208" ht="12.75" customHeight="1">
      <c r="A208" s="171"/>
      <c r="B208" s="171"/>
      <c r="C208" s="171"/>
      <c r="D208" s="1"/>
      <c r="E208" s="171"/>
      <c r="F208" s="172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4"/>
      <c r="V208" s="174"/>
      <c r="W208" s="174"/>
    </row>
    <row r="209" ht="12.75" customHeight="1">
      <c r="A209" s="171"/>
      <c r="B209" s="171"/>
      <c r="C209" s="171"/>
      <c r="D209" s="1"/>
      <c r="E209" s="171"/>
      <c r="F209" s="172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4"/>
      <c r="V209" s="174"/>
      <c r="W209" s="174"/>
    </row>
    <row r="210" ht="12.75" customHeight="1">
      <c r="A210" s="171"/>
      <c r="B210" s="171"/>
      <c r="C210" s="171"/>
      <c r="D210" s="1"/>
      <c r="E210" s="171"/>
      <c r="F210" s="172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4"/>
      <c r="V210" s="174"/>
      <c r="W210" s="174"/>
    </row>
    <row r="211" ht="12.75" customHeight="1">
      <c r="A211" s="171"/>
      <c r="B211" s="171"/>
      <c r="C211" s="171"/>
      <c r="D211" s="1"/>
      <c r="E211" s="171"/>
      <c r="F211" s="172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4"/>
      <c r="V211" s="174"/>
      <c r="W211" s="174"/>
    </row>
    <row r="212" ht="12.75" customHeight="1">
      <c r="A212" s="171"/>
      <c r="B212" s="171"/>
      <c r="C212" s="171"/>
      <c r="D212" s="1"/>
      <c r="E212" s="171"/>
      <c r="F212" s="172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4"/>
      <c r="V212" s="174"/>
      <c r="W212" s="174"/>
    </row>
    <row r="213" ht="12.75" customHeight="1">
      <c r="A213" s="171"/>
      <c r="B213" s="171"/>
      <c r="C213" s="171"/>
      <c r="D213" s="1"/>
      <c r="E213" s="171"/>
      <c r="F213" s="172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4"/>
      <c r="V213" s="174"/>
      <c r="W213" s="174"/>
    </row>
    <row r="214" ht="12.75" customHeight="1">
      <c r="A214" s="171"/>
      <c r="B214" s="171"/>
      <c r="C214" s="171"/>
      <c r="D214" s="1"/>
      <c r="E214" s="171"/>
      <c r="F214" s="172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4"/>
      <c r="V214" s="174"/>
      <c r="W214" s="174"/>
    </row>
    <row r="215" ht="12.75" customHeight="1">
      <c r="A215" s="171"/>
      <c r="B215" s="171"/>
      <c r="C215" s="171"/>
      <c r="D215" s="1"/>
      <c r="E215" s="171"/>
      <c r="F215" s="172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4"/>
      <c r="V215" s="174"/>
      <c r="W215" s="174"/>
    </row>
    <row r="216" ht="12.75" customHeight="1">
      <c r="A216" s="171"/>
      <c r="B216" s="171"/>
      <c r="C216" s="171"/>
      <c r="D216" s="1"/>
      <c r="E216" s="171"/>
      <c r="F216" s="172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4"/>
      <c r="V216" s="174"/>
      <c r="W216" s="174"/>
    </row>
    <row r="217" ht="12.75" customHeight="1">
      <c r="A217" s="171"/>
      <c r="B217" s="171"/>
      <c r="C217" s="171"/>
      <c r="D217" s="1"/>
      <c r="E217" s="171"/>
      <c r="F217" s="172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4"/>
      <c r="V217" s="174"/>
      <c r="W217" s="174"/>
    </row>
    <row r="218" ht="12.75" customHeight="1">
      <c r="A218" s="171"/>
      <c r="B218" s="171"/>
      <c r="C218" s="171"/>
      <c r="D218" s="1"/>
      <c r="E218" s="171"/>
      <c r="F218" s="172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4"/>
      <c r="V218" s="174"/>
      <c r="W218" s="174"/>
    </row>
    <row r="219" ht="12.75" customHeight="1">
      <c r="A219" s="171"/>
      <c r="B219" s="171"/>
      <c r="C219" s="171"/>
      <c r="D219" s="1"/>
      <c r="E219" s="171"/>
      <c r="F219" s="172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4"/>
      <c r="V219" s="174"/>
      <c r="W219" s="174"/>
    </row>
    <row r="220" ht="12.75" customHeight="1">
      <c r="A220" s="171"/>
      <c r="B220" s="171"/>
      <c r="C220" s="171"/>
      <c r="D220" s="1"/>
      <c r="E220" s="171"/>
      <c r="F220" s="172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4"/>
      <c r="V220" s="174"/>
      <c r="W220" s="174"/>
    </row>
    <row r="221" ht="12.75" customHeight="1">
      <c r="A221" s="171"/>
      <c r="B221" s="171"/>
      <c r="C221" s="171"/>
      <c r="D221" s="1"/>
      <c r="E221" s="171"/>
      <c r="F221" s="172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4"/>
      <c r="V221" s="174"/>
      <c r="W221" s="174"/>
    </row>
    <row r="222" ht="12.75" customHeight="1">
      <c r="A222" s="171"/>
      <c r="B222" s="171"/>
      <c r="C222" s="171"/>
      <c r="D222" s="1"/>
      <c r="E222" s="171"/>
      <c r="F222" s="172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4"/>
      <c r="V222" s="174"/>
      <c r="W222" s="174"/>
    </row>
    <row r="223" ht="12.75" customHeight="1">
      <c r="A223" s="171"/>
      <c r="B223" s="171"/>
      <c r="C223" s="171"/>
      <c r="D223" s="1"/>
      <c r="E223" s="171"/>
      <c r="F223" s="172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4"/>
      <c r="V223" s="174"/>
      <c r="W223" s="174"/>
    </row>
    <row r="224" ht="12.75" customHeight="1">
      <c r="A224" s="171"/>
      <c r="B224" s="171"/>
      <c r="C224" s="171"/>
      <c r="D224" s="1"/>
      <c r="E224" s="171"/>
      <c r="F224" s="172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4"/>
      <c r="V224" s="174"/>
      <c r="W224" s="174"/>
    </row>
    <row r="225" ht="12.75" customHeight="1">
      <c r="A225" s="171"/>
      <c r="B225" s="171"/>
      <c r="C225" s="171"/>
      <c r="D225" s="1"/>
      <c r="E225" s="171"/>
      <c r="F225" s="172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4"/>
      <c r="V225" s="174"/>
      <c r="W225" s="174"/>
    </row>
    <row r="226" ht="12.75" customHeight="1">
      <c r="A226" s="171"/>
      <c r="B226" s="171"/>
      <c r="C226" s="171"/>
      <c r="D226" s="1"/>
      <c r="E226" s="171"/>
      <c r="F226" s="172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4"/>
      <c r="V226" s="174"/>
      <c r="W226" s="174"/>
    </row>
    <row r="227" ht="12.75" customHeight="1">
      <c r="A227" s="171"/>
      <c r="B227" s="171"/>
      <c r="C227" s="171"/>
      <c r="D227" s="1"/>
      <c r="E227" s="171"/>
      <c r="F227" s="172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4"/>
      <c r="V227" s="174"/>
      <c r="W227" s="174"/>
    </row>
    <row r="228" ht="12.75" customHeight="1">
      <c r="A228" s="171"/>
      <c r="B228" s="171"/>
      <c r="C228" s="171"/>
      <c r="D228" s="1"/>
      <c r="E228" s="171"/>
      <c r="F228" s="172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4"/>
      <c r="V228" s="174"/>
      <c r="W228" s="174"/>
    </row>
    <row r="229" ht="12.75" customHeight="1">
      <c r="A229" s="171"/>
      <c r="B229" s="171"/>
      <c r="C229" s="171"/>
      <c r="D229" s="1"/>
      <c r="E229" s="171"/>
      <c r="F229" s="172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4"/>
      <c r="V229" s="174"/>
      <c r="W229" s="174"/>
    </row>
    <row r="230" ht="12.75" customHeight="1">
      <c r="A230" s="171"/>
      <c r="B230" s="171"/>
      <c r="C230" s="171"/>
      <c r="D230" s="1"/>
      <c r="E230" s="171"/>
      <c r="F230" s="172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4"/>
      <c r="V230" s="174"/>
      <c r="W230" s="174"/>
    </row>
    <row r="231" ht="12.75" customHeight="1">
      <c r="A231" s="171"/>
      <c r="B231" s="171"/>
      <c r="C231" s="171"/>
      <c r="D231" s="1"/>
      <c r="E231" s="171"/>
      <c r="F231" s="172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4"/>
      <c r="V231" s="174"/>
      <c r="W231" s="174"/>
    </row>
    <row r="232" ht="12.75" customHeight="1">
      <c r="A232" s="171"/>
      <c r="B232" s="171"/>
      <c r="C232" s="171"/>
      <c r="D232" s="1"/>
      <c r="E232" s="171"/>
      <c r="F232" s="172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4"/>
      <c r="V232" s="174"/>
      <c r="W232" s="174"/>
    </row>
    <row r="233" ht="12.75" customHeight="1">
      <c r="A233" s="171"/>
      <c r="B233" s="171"/>
      <c r="C233" s="171"/>
      <c r="D233" s="1"/>
      <c r="E233" s="171"/>
      <c r="F233" s="172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4"/>
      <c r="V233" s="174"/>
      <c r="W233" s="174"/>
    </row>
    <row r="234" ht="12.75" customHeight="1">
      <c r="A234" s="171"/>
      <c r="B234" s="171"/>
      <c r="C234" s="171"/>
      <c r="D234" s="1"/>
      <c r="E234" s="171"/>
      <c r="F234" s="172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4"/>
      <c r="V234" s="174"/>
      <c r="W234" s="174"/>
    </row>
    <row r="235" ht="12.75" customHeight="1">
      <c r="A235" s="171"/>
      <c r="B235" s="171"/>
      <c r="C235" s="171"/>
      <c r="D235" s="1"/>
      <c r="E235" s="171"/>
      <c r="F235" s="172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4"/>
      <c r="V235" s="174"/>
      <c r="W235" s="174"/>
    </row>
    <row r="236" ht="12.75" customHeight="1">
      <c r="A236" s="171"/>
      <c r="B236" s="171"/>
      <c r="C236" s="171"/>
      <c r="D236" s="1"/>
      <c r="E236" s="171"/>
      <c r="F236" s="172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4"/>
      <c r="V236" s="174"/>
      <c r="W236" s="174"/>
    </row>
    <row r="237" ht="12.75" customHeight="1">
      <c r="A237" s="171"/>
      <c r="B237" s="171"/>
      <c r="C237" s="171"/>
      <c r="D237" s="1"/>
      <c r="E237" s="171"/>
      <c r="F237" s="172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4"/>
      <c r="V237" s="174"/>
      <c r="W237" s="174"/>
    </row>
    <row r="238" ht="12.75" customHeight="1">
      <c r="A238" s="171"/>
      <c r="B238" s="171"/>
      <c r="C238" s="171"/>
      <c r="D238" s="1"/>
      <c r="E238" s="171"/>
      <c r="F238" s="172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4"/>
      <c r="V238" s="174"/>
      <c r="W238" s="174"/>
    </row>
    <row r="239" ht="12.75" customHeight="1">
      <c r="A239" s="171"/>
      <c r="B239" s="171"/>
      <c r="C239" s="171"/>
      <c r="D239" s="1"/>
      <c r="E239" s="171"/>
      <c r="F239" s="172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4"/>
      <c r="V239" s="174"/>
      <c r="W239" s="174"/>
    </row>
    <row r="240" ht="12.75" customHeight="1">
      <c r="A240" s="171"/>
      <c r="B240" s="171"/>
      <c r="C240" s="171"/>
      <c r="D240" s="1"/>
      <c r="E240" s="171"/>
      <c r="F240" s="172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4"/>
      <c r="V240" s="174"/>
      <c r="W240" s="174"/>
    </row>
    <row r="241" ht="12.75" customHeight="1">
      <c r="A241" s="171"/>
      <c r="B241" s="171"/>
      <c r="C241" s="171"/>
      <c r="D241" s="1"/>
      <c r="E241" s="171"/>
      <c r="F241" s="172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4"/>
      <c r="V241" s="174"/>
      <c r="W241" s="174"/>
    </row>
    <row r="242" ht="12.75" customHeight="1">
      <c r="A242" s="171"/>
      <c r="B242" s="171"/>
      <c r="C242" s="171"/>
      <c r="D242" s="1"/>
      <c r="E242" s="171"/>
      <c r="F242" s="172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4"/>
      <c r="V242" s="174"/>
      <c r="W242" s="174"/>
    </row>
    <row r="243" ht="12.75" customHeight="1">
      <c r="A243" s="171"/>
      <c r="B243" s="171"/>
      <c r="C243" s="171"/>
      <c r="D243" s="1"/>
      <c r="E243" s="171"/>
      <c r="F243" s="172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4"/>
      <c r="V243" s="174"/>
      <c r="W243" s="174"/>
    </row>
    <row r="244" ht="12.75" customHeight="1">
      <c r="A244" s="171"/>
      <c r="B244" s="171"/>
      <c r="C244" s="171"/>
      <c r="D244" s="1"/>
      <c r="E244" s="171"/>
      <c r="F244" s="172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4"/>
      <c r="V244" s="174"/>
      <c r="W244" s="174"/>
    </row>
    <row r="245" ht="12.75" customHeight="1">
      <c r="A245" s="171"/>
      <c r="B245" s="171"/>
      <c r="C245" s="171"/>
      <c r="D245" s="1"/>
      <c r="E245" s="171"/>
      <c r="F245" s="172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4"/>
      <c r="V245" s="174"/>
      <c r="W245" s="174"/>
    </row>
    <row r="246" ht="12.75" customHeight="1">
      <c r="A246" s="171"/>
      <c r="B246" s="171"/>
      <c r="C246" s="171"/>
      <c r="D246" s="1"/>
      <c r="E246" s="171"/>
      <c r="F246" s="172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4"/>
      <c r="V246" s="174"/>
      <c r="W246" s="174"/>
    </row>
    <row r="247" ht="12.75" customHeight="1">
      <c r="A247" s="171"/>
      <c r="B247" s="171"/>
      <c r="C247" s="171"/>
      <c r="D247" s="1"/>
      <c r="E247" s="171"/>
      <c r="F247" s="172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4"/>
      <c r="V247" s="174"/>
      <c r="W247" s="174"/>
    </row>
    <row r="248" ht="12.75" customHeight="1">
      <c r="A248" s="171"/>
      <c r="B248" s="171"/>
      <c r="C248" s="171"/>
      <c r="D248" s="1"/>
      <c r="E248" s="171"/>
      <c r="F248" s="172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4"/>
      <c r="V248" s="174"/>
      <c r="W248" s="174"/>
    </row>
    <row r="249" ht="12.75" customHeight="1">
      <c r="A249" s="171"/>
      <c r="B249" s="171"/>
      <c r="C249" s="171"/>
      <c r="D249" s="1"/>
      <c r="E249" s="171"/>
      <c r="F249" s="172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4"/>
      <c r="V249" s="174"/>
      <c r="W249" s="174"/>
    </row>
    <row r="250" ht="12.75" customHeight="1">
      <c r="A250" s="171"/>
      <c r="B250" s="171"/>
      <c r="C250" s="171"/>
      <c r="D250" s="1"/>
      <c r="E250" s="171"/>
      <c r="F250" s="172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4"/>
      <c r="V250" s="174"/>
      <c r="W250" s="174"/>
    </row>
    <row r="251" ht="12.75" customHeight="1">
      <c r="A251" s="171"/>
      <c r="B251" s="171"/>
      <c r="C251" s="171"/>
      <c r="D251" s="1"/>
      <c r="E251" s="171"/>
      <c r="F251" s="172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4"/>
      <c r="V251" s="174"/>
      <c r="W251" s="174"/>
    </row>
    <row r="252" ht="12.75" customHeight="1">
      <c r="A252" s="171"/>
      <c r="B252" s="171"/>
      <c r="C252" s="171"/>
      <c r="D252" s="1"/>
      <c r="E252" s="171"/>
      <c r="F252" s="172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4"/>
      <c r="V252" s="174"/>
      <c r="W252" s="174"/>
    </row>
    <row r="253" ht="12.75" customHeight="1">
      <c r="A253" s="171"/>
      <c r="B253" s="171"/>
      <c r="C253" s="171"/>
      <c r="D253" s="1"/>
      <c r="E253" s="171"/>
      <c r="F253" s="172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4"/>
      <c r="V253" s="174"/>
      <c r="W253" s="174"/>
    </row>
    <row r="254" ht="12.75" customHeight="1">
      <c r="A254" s="171"/>
      <c r="B254" s="171"/>
      <c r="C254" s="171"/>
      <c r="D254" s="1"/>
      <c r="E254" s="171"/>
      <c r="F254" s="172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4"/>
      <c r="V254" s="174"/>
      <c r="W254" s="174"/>
    </row>
    <row r="255" ht="12.75" customHeight="1">
      <c r="A255" s="171"/>
      <c r="B255" s="171"/>
      <c r="C255" s="171"/>
      <c r="D255" s="1"/>
      <c r="E255" s="171"/>
      <c r="F255" s="172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4"/>
      <c r="V255" s="174"/>
      <c r="W255" s="174"/>
    </row>
    <row r="256" ht="12.75" customHeight="1">
      <c r="A256" s="171"/>
      <c r="B256" s="171"/>
      <c r="C256" s="171"/>
      <c r="D256" s="1"/>
      <c r="E256" s="171"/>
      <c r="F256" s="172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4"/>
      <c r="V256" s="174"/>
      <c r="W256" s="174"/>
    </row>
    <row r="257" ht="12.75" customHeight="1">
      <c r="A257" s="171"/>
      <c r="B257" s="171"/>
      <c r="C257" s="171"/>
      <c r="D257" s="1"/>
      <c r="E257" s="171"/>
      <c r="F257" s="172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4"/>
      <c r="V257" s="174"/>
      <c r="W257" s="174"/>
    </row>
    <row r="258" ht="12.75" customHeight="1">
      <c r="A258" s="171"/>
      <c r="B258" s="171"/>
      <c r="C258" s="171"/>
      <c r="D258" s="1"/>
      <c r="E258" s="171"/>
      <c r="F258" s="172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4"/>
      <c r="V258" s="174"/>
      <c r="W258" s="174"/>
    </row>
    <row r="259" ht="12.75" customHeight="1">
      <c r="A259" s="171"/>
      <c r="B259" s="171"/>
      <c r="C259" s="171"/>
      <c r="D259" s="1"/>
      <c r="E259" s="171"/>
      <c r="F259" s="172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4"/>
      <c r="V259" s="174"/>
      <c r="W259" s="174"/>
    </row>
    <row r="260" ht="12.75" customHeight="1">
      <c r="A260" s="171"/>
      <c r="B260" s="171"/>
      <c r="C260" s="171"/>
      <c r="D260" s="1"/>
      <c r="E260" s="171"/>
      <c r="F260" s="172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4"/>
      <c r="V260" s="174"/>
      <c r="W260" s="174"/>
    </row>
    <row r="261" ht="12.75" customHeight="1">
      <c r="A261" s="171"/>
      <c r="B261" s="171"/>
      <c r="C261" s="171"/>
      <c r="D261" s="1"/>
      <c r="E261" s="171"/>
      <c r="F261" s="172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4"/>
      <c r="V261" s="174"/>
      <c r="W261" s="174"/>
    </row>
    <row r="262" ht="12.75" customHeight="1">
      <c r="A262" s="171"/>
      <c r="B262" s="171"/>
      <c r="C262" s="171"/>
      <c r="D262" s="1"/>
      <c r="E262" s="171"/>
      <c r="F262" s="172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4"/>
      <c r="V262" s="174"/>
      <c r="W262" s="174"/>
    </row>
    <row r="263" ht="12.75" customHeight="1">
      <c r="A263" s="171"/>
      <c r="B263" s="171"/>
      <c r="C263" s="171"/>
      <c r="D263" s="1"/>
      <c r="E263" s="171"/>
      <c r="F263" s="172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4"/>
      <c r="V263" s="174"/>
      <c r="W263" s="174"/>
    </row>
    <row r="264" ht="12.75" customHeight="1">
      <c r="A264" s="171"/>
      <c r="B264" s="171"/>
      <c r="C264" s="171"/>
      <c r="D264" s="1"/>
      <c r="E264" s="171"/>
      <c r="F264" s="172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4"/>
      <c r="V264" s="174"/>
      <c r="W264" s="174"/>
    </row>
    <row r="265" ht="12.75" customHeight="1">
      <c r="A265" s="171"/>
      <c r="B265" s="171"/>
      <c r="C265" s="171"/>
      <c r="D265" s="1"/>
      <c r="E265" s="171"/>
      <c r="F265" s="172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4"/>
      <c r="V265" s="174"/>
      <c r="W265" s="174"/>
    </row>
    <row r="266" ht="12.75" customHeight="1">
      <c r="A266" s="171"/>
      <c r="B266" s="171"/>
      <c r="C266" s="171"/>
      <c r="D266" s="1"/>
      <c r="E266" s="171"/>
      <c r="F266" s="172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4"/>
      <c r="V266" s="174"/>
      <c r="W266" s="174"/>
    </row>
    <row r="267" ht="12.75" customHeight="1">
      <c r="A267" s="171"/>
      <c r="B267" s="171"/>
      <c r="C267" s="171"/>
      <c r="D267" s="1"/>
      <c r="E267" s="171"/>
      <c r="F267" s="172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4"/>
      <c r="V267" s="174"/>
      <c r="W267" s="174"/>
    </row>
    <row r="268" ht="12.75" customHeight="1">
      <c r="A268" s="171"/>
      <c r="B268" s="171"/>
      <c r="C268" s="171"/>
      <c r="D268" s="1"/>
      <c r="E268" s="171"/>
      <c r="F268" s="172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4"/>
      <c r="V268" s="174"/>
      <c r="W268" s="174"/>
    </row>
    <row r="269" ht="12.75" customHeight="1">
      <c r="A269" s="171"/>
      <c r="B269" s="171"/>
      <c r="C269" s="171"/>
      <c r="D269" s="1"/>
      <c r="E269" s="171"/>
      <c r="F269" s="172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4"/>
      <c r="V269" s="174"/>
      <c r="W269" s="174"/>
    </row>
    <row r="270" ht="12.75" customHeight="1">
      <c r="A270" s="171"/>
      <c r="B270" s="171"/>
      <c r="C270" s="171"/>
      <c r="D270" s="1"/>
      <c r="E270" s="171"/>
      <c r="F270" s="172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4"/>
      <c r="V270" s="174"/>
      <c r="W270" s="174"/>
    </row>
    <row r="271" ht="12.75" customHeight="1">
      <c r="A271" s="171"/>
      <c r="B271" s="171"/>
      <c r="C271" s="171"/>
      <c r="D271" s="1"/>
      <c r="E271" s="171"/>
      <c r="F271" s="172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4"/>
      <c r="V271" s="174"/>
      <c r="W271" s="174"/>
    </row>
    <row r="272" ht="12.75" customHeight="1">
      <c r="A272" s="171"/>
      <c r="B272" s="171"/>
      <c r="C272" s="171"/>
      <c r="D272" s="1"/>
      <c r="E272" s="171"/>
      <c r="F272" s="172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4"/>
      <c r="V272" s="174"/>
      <c r="W272" s="174"/>
    </row>
    <row r="273" ht="12.75" customHeight="1">
      <c r="A273" s="171"/>
      <c r="B273" s="171"/>
      <c r="C273" s="171"/>
      <c r="D273" s="1"/>
      <c r="E273" s="171"/>
      <c r="F273" s="172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4"/>
      <c r="V273" s="174"/>
      <c r="W273" s="174"/>
    </row>
    <row r="274" ht="12.75" customHeight="1">
      <c r="A274" s="171"/>
      <c r="B274" s="171"/>
      <c r="C274" s="171"/>
      <c r="D274" s="1"/>
      <c r="E274" s="171"/>
      <c r="F274" s="172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4"/>
      <c r="V274" s="174"/>
      <c r="W274" s="174"/>
    </row>
    <row r="275" ht="12.75" customHeight="1">
      <c r="A275" s="171"/>
      <c r="B275" s="171"/>
      <c r="C275" s="171"/>
      <c r="D275" s="1"/>
      <c r="E275" s="171"/>
      <c r="F275" s="172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4"/>
      <c r="V275" s="174"/>
      <c r="W275" s="174"/>
    </row>
    <row r="276" ht="12.75" customHeight="1">
      <c r="A276" s="171"/>
      <c r="B276" s="171"/>
      <c r="C276" s="171"/>
      <c r="D276" s="1"/>
      <c r="E276" s="171"/>
      <c r="F276" s="172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4"/>
      <c r="V276" s="174"/>
      <c r="W276" s="174"/>
    </row>
    <row r="277" ht="12.75" customHeight="1">
      <c r="A277" s="171"/>
      <c r="B277" s="171"/>
      <c r="C277" s="171"/>
      <c r="D277" s="1"/>
      <c r="E277" s="171"/>
      <c r="F277" s="172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4"/>
      <c r="V277" s="174"/>
      <c r="W277" s="174"/>
    </row>
    <row r="278" ht="12.75" customHeight="1">
      <c r="A278" s="171"/>
      <c r="B278" s="171"/>
      <c r="C278" s="171"/>
      <c r="D278" s="1"/>
      <c r="E278" s="171"/>
      <c r="F278" s="172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4"/>
      <c r="V278" s="174"/>
      <c r="W278" s="174"/>
    </row>
    <row r="279" ht="12.75" customHeight="1">
      <c r="A279" s="171"/>
      <c r="B279" s="171"/>
      <c r="C279" s="171"/>
      <c r="D279" s="1"/>
      <c r="E279" s="171"/>
      <c r="F279" s="172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4"/>
      <c r="V279" s="174"/>
      <c r="W279" s="174"/>
    </row>
    <row r="280" ht="12.75" customHeight="1">
      <c r="A280" s="171"/>
      <c r="B280" s="171"/>
      <c r="C280" s="171"/>
      <c r="D280" s="1"/>
      <c r="E280" s="171"/>
      <c r="F280" s="172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4"/>
      <c r="V280" s="174"/>
      <c r="W280" s="174"/>
    </row>
    <row r="281" ht="12.75" customHeight="1">
      <c r="A281" s="171"/>
      <c r="B281" s="171"/>
      <c r="C281" s="171"/>
      <c r="D281" s="1"/>
      <c r="E281" s="171"/>
      <c r="F281" s="172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4"/>
      <c r="V281" s="174"/>
      <c r="W281" s="174"/>
    </row>
    <row r="282" ht="12.75" customHeight="1">
      <c r="A282" s="171"/>
      <c r="B282" s="171"/>
      <c r="C282" s="171"/>
      <c r="D282" s="1"/>
      <c r="E282" s="171"/>
      <c r="F282" s="172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4"/>
      <c r="V282" s="174"/>
      <c r="W282" s="174"/>
    </row>
    <row r="283" ht="12.75" customHeight="1">
      <c r="A283" s="171"/>
      <c r="B283" s="171"/>
      <c r="C283" s="171"/>
      <c r="D283" s="1"/>
      <c r="E283" s="171"/>
      <c r="F283" s="172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4"/>
      <c r="V283" s="174"/>
      <c r="W283" s="174"/>
    </row>
    <row r="284" ht="12.75" customHeight="1">
      <c r="A284" s="171"/>
      <c r="B284" s="171"/>
      <c r="C284" s="171"/>
      <c r="D284" s="1"/>
      <c r="E284" s="171"/>
      <c r="F284" s="172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4"/>
      <c r="V284" s="174"/>
      <c r="W284" s="174"/>
    </row>
    <row r="285" ht="12.75" customHeight="1">
      <c r="A285" s="171"/>
      <c r="B285" s="171"/>
      <c r="C285" s="171"/>
      <c r="D285" s="1"/>
      <c r="E285" s="171"/>
      <c r="F285" s="172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4"/>
      <c r="V285" s="174"/>
      <c r="W285" s="174"/>
    </row>
    <row r="286" ht="12.75" customHeight="1">
      <c r="A286" s="171"/>
      <c r="B286" s="171"/>
      <c r="C286" s="171"/>
      <c r="D286" s="1"/>
      <c r="E286" s="171"/>
      <c r="F286" s="172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4"/>
      <c r="V286" s="174"/>
      <c r="W286" s="174"/>
    </row>
    <row r="287" ht="12.75" customHeight="1">
      <c r="A287" s="171"/>
      <c r="B287" s="171"/>
      <c r="C287" s="171"/>
      <c r="D287" s="1"/>
      <c r="E287" s="171"/>
      <c r="F287" s="172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4"/>
      <c r="V287" s="174"/>
      <c r="W287" s="174"/>
    </row>
    <row r="288" ht="12.75" customHeight="1">
      <c r="A288" s="171"/>
      <c r="B288" s="171"/>
      <c r="C288" s="171"/>
      <c r="D288" s="1"/>
      <c r="E288" s="171"/>
      <c r="F288" s="172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4"/>
      <c r="V288" s="174"/>
      <c r="W288" s="174"/>
    </row>
    <row r="289" ht="12.75" customHeight="1">
      <c r="A289" s="171"/>
      <c r="B289" s="171"/>
      <c r="C289" s="171"/>
      <c r="D289" s="1"/>
      <c r="E289" s="171"/>
      <c r="F289" s="172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4"/>
      <c r="V289" s="174"/>
      <c r="W289" s="174"/>
    </row>
    <row r="290" ht="12.75" customHeight="1">
      <c r="A290" s="171"/>
      <c r="B290" s="171"/>
      <c r="C290" s="171"/>
      <c r="D290" s="1"/>
      <c r="E290" s="171"/>
      <c r="F290" s="172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4"/>
      <c r="V290" s="174"/>
      <c r="W290" s="174"/>
    </row>
    <row r="291" ht="12.75" customHeight="1">
      <c r="A291" s="171"/>
      <c r="B291" s="171"/>
      <c r="C291" s="171"/>
      <c r="D291" s="1"/>
      <c r="E291" s="171"/>
      <c r="F291" s="172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4"/>
      <c r="V291" s="174"/>
      <c r="W291" s="174"/>
    </row>
    <row r="292" ht="12.75" customHeight="1">
      <c r="A292" s="171"/>
      <c r="B292" s="171"/>
      <c r="C292" s="171"/>
      <c r="D292" s="1"/>
      <c r="E292" s="171"/>
      <c r="F292" s="172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4"/>
      <c r="V292" s="174"/>
      <c r="W292" s="174"/>
    </row>
    <row r="293" ht="12.75" customHeight="1">
      <c r="A293" s="171"/>
      <c r="B293" s="171"/>
      <c r="C293" s="171"/>
      <c r="D293" s="1"/>
      <c r="E293" s="171"/>
      <c r="F293" s="172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4"/>
      <c r="V293" s="174"/>
      <c r="W293" s="174"/>
    </row>
    <row r="294" ht="12.75" customHeight="1">
      <c r="A294" s="171"/>
      <c r="B294" s="171"/>
      <c r="C294" s="171"/>
      <c r="D294" s="1"/>
      <c r="E294" s="171"/>
      <c r="F294" s="172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4"/>
      <c r="V294" s="174"/>
      <c r="W294" s="174"/>
    </row>
    <row r="295" ht="12.75" customHeight="1">
      <c r="A295" s="171"/>
      <c r="B295" s="171"/>
      <c r="C295" s="171"/>
      <c r="D295" s="1"/>
      <c r="E295" s="171"/>
      <c r="F295" s="172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4"/>
      <c r="V295" s="174"/>
      <c r="W295" s="174"/>
    </row>
    <row r="296" ht="12.75" customHeight="1">
      <c r="A296" s="171"/>
      <c r="B296" s="171"/>
      <c r="C296" s="171"/>
      <c r="D296" s="1"/>
      <c r="E296" s="171"/>
      <c r="F296" s="172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4"/>
      <c r="V296" s="174"/>
      <c r="W296" s="174"/>
    </row>
    <row r="297" ht="12.75" customHeight="1">
      <c r="A297" s="171"/>
      <c r="B297" s="171"/>
      <c r="C297" s="171"/>
      <c r="D297" s="1"/>
      <c r="E297" s="171"/>
      <c r="F297" s="172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4"/>
      <c r="V297" s="174"/>
      <c r="W297" s="174"/>
    </row>
    <row r="298" ht="12.75" customHeight="1">
      <c r="A298" s="171"/>
      <c r="B298" s="171"/>
      <c r="C298" s="171"/>
      <c r="D298" s="1"/>
      <c r="E298" s="171"/>
      <c r="F298" s="172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4"/>
      <c r="V298" s="174"/>
      <c r="W298" s="174"/>
    </row>
    <row r="299" ht="12.75" customHeight="1">
      <c r="A299" s="171"/>
      <c r="B299" s="171"/>
      <c r="C299" s="171"/>
      <c r="D299" s="1"/>
      <c r="E299" s="171"/>
      <c r="F299" s="172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4"/>
      <c r="V299" s="174"/>
      <c r="W299" s="174"/>
    </row>
    <row r="300" ht="12.75" customHeight="1">
      <c r="A300" s="171"/>
      <c r="B300" s="171"/>
      <c r="C300" s="171"/>
      <c r="D300" s="1"/>
      <c r="E300" s="171"/>
      <c r="F300" s="172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4"/>
      <c r="V300" s="174"/>
      <c r="W300" s="174"/>
    </row>
    <row r="301" ht="12.75" customHeight="1">
      <c r="A301" s="171"/>
      <c r="B301" s="171"/>
      <c r="C301" s="171"/>
      <c r="D301" s="1"/>
      <c r="E301" s="171"/>
      <c r="F301" s="172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4"/>
      <c r="V301" s="174"/>
      <c r="W301" s="174"/>
    </row>
    <row r="302" ht="12.75" customHeight="1">
      <c r="A302" s="171"/>
      <c r="B302" s="171"/>
      <c r="C302" s="171"/>
      <c r="D302" s="1"/>
      <c r="E302" s="171"/>
      <c r="F302" s="172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4"/>
      <c r="V302" s="174"/>
      <c r="W302" s="174"/>
    </row>
    <row r="303" ht="12.75" customHeight="1">
      <c r="A303" s="171"/>
      <c r="B303" s="171"/>
      <c r="C303" s="171"/>
      <c r="D303" s="1"/>
      <c r="E303" s="171"/>
      <c r="F303" s="172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4"/>
      <c r="V303" s="174"/>
      <c r="W303" s="174"/>
    </row>
    <row r="304" ht="12.75" customHeight="1">
      <c r="A304" s="171"/>
      <c r="B304" s="171"/>
      <c r="C304" s="171"/>
      <c r="D304" s="1"/>
      <c r="E304" s="171"/>
      <c r="F304" s="172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4"/>
      <c r="V304" s="174"/>
      <c r="W304" s="174"/>
    </row>
    <row r="305" ht="12.75" customHeight="1">
      <c r="A305" s="171"/>
      <c r="B305" s="171"/>
      <c r="C305" s="171"/>
      <c r="D305" s="1"/>
      <c r="E305" s="171"/>
      <c r="F305" s="172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4"/>
      <c r="V305" s="174"/>
      <c r="W305" s="174"/>
    </row>
    <row r="306" ht="12.75" customHeight="1">
      <c r="A306" s="171"/>
      <c r="B306" s="171"/>
      <c r="C306" s="171"/>
      <c r="D306" s="1"/>
      <c r="E306" s="171"/>
      <c r="F306" s="172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4"/>
      <c r="V306" s="174"/>
      <c r="W306" s="174"/>
    </row>
    <row r="307" ht="12.75" customHeight="1">
      <c r="A307" s="171"/>
      <c r="B307" s="171"/>
      <c r="C307" s="171"/>
      <c r="D307" s="1"/>
      <c r="E307" s="171"/>
      <c r="F307" s="172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4"/>
      <c r="V307" s="174"/>
      <c r="W307" s="174"/>
    </row>
    <row r="308" ht="12.75" customHeight="1">
      <c r="A308" s="171"/>
      <c r="B308" s="171"/>
      <c r="C308" s="171"/>
      <c r="D308" s="1"/>
      <c r="E308" s="171"/>
      <c r="F308" s="172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4"/>
      <c r="V308" s="174"/>
      <c r="W308" s="174"/>
    </row>
    <row r="309" ht="12.75" customHeight="1">
      <c r="A309" s="171"/>
      <c r="B309" s="171"/>
      <c r="C309" s="171"/>
      <c r="D309" s="1"/>
      <c r="E309" s="171"/>
      <c r="F309" s="172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4"/>
      <c r="V309" s="174"/>
      <c r="W309" s="174"/>
    </row>
    <row r="310" ht="12.75" customHeight="1">
      <c r="A310" s="171"/>
      <c r="B310" s="171"/>
      <c r="C310" s="171"/>
      <c r="D310" s="1"/>
      <c r="E310" s="171"/>
      <c r="F310" s="172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4"/>
      <c r="V310" s="174"/>
      <c r="W310" s="174"/>
    </row>
    <row r="311" ht="12.75" customHeight="1">
      <c r="A311" s="171"/>
      <c r="B311" s="171"/>
      <c r="C311" s="171"/>
      <c r="D311" s="1"/>
      <c r="E311" s="171"/>
      <c r="F311" s="172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4"/>
      <c r="V311" s="174"/>
      <c r="W311" s="174"/>
    </row>
    <row r="312" ht="12.75" customHeight="1">
      <c r="A312" s="171"/>
      <c r="B312" s="171"/>
      <c r="C312" s="171"/>
      <c r="D312" s="1"/>
      <c r="E312" s="171"/>
      <c r="F312" s="172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4"/>
      <c r="V312" s="174"/>
      <c r="W312" s="174"/>
    </row>
    <row r="313" ht="12.75" customHeight="1">
      <c r="A313" s="171"/>
      <c r="B313" s="171"/>
      <c r="C313" s="171"/>
      <c r="D313" s="1"/>
      <c r="E313" s="171"/>
      <c r="F313" s="172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4"/>
      <c r="V313" s="174"/>
      <c r="W313" s="174"/>
    </row>
    <row r="314" ht="12.75" customHeight="1">
      <c r="A314" s="171"/>
      <c r="B314" s="171"/>
      <c r="C314" s="171"/>
      <c r="D314" s="1"/>
      <c r="E314" s="171"/>
      <c r="F314" s="172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4"/>
      <c r="V314" s="174"/>
      <c r="W314" s="174"/>
    </row>
    <row r="315" ht="12.75" customHeight="1">
      <c r="A315" s="171"/>
      <c r="B315" s="171"/>
      <c r="C315" s="171"/>
      <c r="D315" s="1"/>
      <c r="E315" s="171"/>
      <c r="F315" s="172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4"/>
      <c r="V315" s="174"/>
      <c r="W315" s="174"/>
    </row>
    <row r="316" ht="12.75" customHeight="1">
      <c r="A316" s="171"/>
      <c r="B316" s="171"/>
      <c r="C316" s="171"/>
      <c r="D316" s="1"/>
      <c r="E316" s="171"/>
      <c r="F316" s="172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4"/>
      <c r="V316" s="174"/>
      <c r="W316" s="174"/>
    </row>
    <row r="317" ht="12.75" customHeight="1">
      <c r="A317" s="171"/>
      <c r="B317" s="171"/>
      <c r="C317" s="171"/>
      <c r="D317" s="1"/>
      <c r="E317" s="171"/>
      <c r="F317" s="172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4"/>
      <c r="V317" s="174"/>
      <c r="W317" s="174"/>
    </row>
    <row r="318" ht="12.75" customHeight="1">
      <c r="A318" s="171"/>
      <c r="B318" s="171"/>
      <c r="C318" s="171"/>
      <c r="D318" s="1"/>
      <c r="E318" s="171"/>
      <c r="F318" s="172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4"/>
      <c r="V318" s="174"/>
      <c r="W318" s="174"/>
    </row>
    <row r="319" ht="12.75" customHeight="1">
      <c r="A319" s="171"/>
      <c r="B319" s="171"/>
      <c r="C319" s="171"/>
      <c r="D319" s="1"/>
      <c r="E319" s="171"/>
      <c r="F319" s="172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4"/>
      <c r="V319" s="174"/>
      <c r="W319" s="174"/>
    </row>
    <row r="320" ht="12.75" customHeight="1">
      <c r="A320" s="171"/>
      <c r="B320" s="171"/>
      <c r="C320" s="171"/>
      <c r="D320" s="1"/>
      <c r="E320" s="171"/>
      <c r="F320" s="172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4"/>
      <c r="V320" s="174"/>
      <c r="W320" s="174"/>
    </row>
    <row r="321" ht="12.75" customHeight="1">
      <c r="A321" s="171"/>
      <c r="B321" s="171"/>
      <c r="C321" s="171"/>
      <c r="D321" s="1"/>
      <c r="E321" s="171"/>
      <c r="F321" s="172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4"/>
      <c r="V321" s="174"/>
      <c r="W321" s="174"/>
    </row>
    <row r="322" ht="12.75" customHeight="1">
      <c r="A322" s="171"/>
      <c r="B322" s="171"/>
      <c r="C322" s="171"/>
      <c r="D322" s="1"/>
      <c r="E322" s="171"/>
      <c r="F322" s="172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4"/>
      <c r="V322" s="174"/>
      <c r="W322" s="174"/>
    </row>
    <row r="323" ht="12.75" customHeight="1">
      <c r="A323" s="171"/>
      <c r="B323" s="171"/>
      <c r="C323" s="171"/>
      <c r="D323" s="1"/>
      <c r="E323" s="171"/>
      <c r="F323" s="172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4"/>
      <c r="V323" s="174"/>
      <c r="W323" s="174"/>
    </row>
    <row r="324" ht="12.75" customHeight="1">
      <c r="A324" s="171"/>
      <c r="B324" s="171"/>
      <c r="C324" s="171"/>
      <c r="D324" s="1"/>
      <c r="E324" s="171"/>
      <c r="F324" s="172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4"/>
      <c r="V324" s="174"/>
      <c r="W324" s="174"/>
    </row>
    <row r="325" ht="12.75" customHeight="1">
      <c r="A325" s="171"/>
      <c r="B325" s="171"/>
      <c r="C325" s="171"/>
      <c r="D325" s="1"/>
      <c r="E325" s="171"/>
      <c r="F325" s="172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4"/>
      <c r="V325" s="174"/>
      <c r="W325" s="174"/>
    </row>
    <row r="326" ht="12.75" customHeight="1">
      <c r="A326" s="171"/>
      <c r="B326" s="171"/>
      <c r="C326" s="171"/>
      <c r="D326" s="1"/>
      <c r="E326" s="171"/>
      <c r="F326" s="172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4"/>
      <c r="V326" s="174"/>
      <c r="W326" s="174"/>
    </row>
    <row r="327" ht="12.75" customHeight="1">
      <c r="A327" s="171"/>
      <c r="B327" s="171"/>
      <c r="C327" s="171"/>
      <c r="D327" s="1"/>
      <c r="E327" s="171"/>
      <c r="F327" s="172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4"/>
      <c r="V327" s="174"/>
      <c r="W327" s="174"/>
    </row>
    <row r="328" ht="12.75" customHeight="1">
      <c r="A328" s="171"/>
      <c r="B328" s="171"/>
      <c r="C328" s="171"/>
      <c r="D328" s="1"/>
      <c r="E328" s="171"/>
      <c r="F328" s="172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4"/>
      <c r="V328" s="174"/>
      <c r="W328" s="174"/>
    </row>
    <row r="329" ht="12.75" customHeight="1">
      <c r="A329" s="171"/>
      <c r="B329" s="171"/>
      <c r="C329" s="171"/>
      <c r="D329" s="1"/>
      <c r="E329" s="171"/>
      <c r="F329" s="172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4"/>
      <c r="V329" s="174"/>
      <c r="W329" s="174"/>
    </row>
    <row r="330" ht="12.75" customHeight="1">
      <c r="A330" s="171"/>
      <c r="B330" s="171"/>
      <c r="C330" s="171"/>
      <c r="D330" s="1"/>
      <c r="E330" s="171"/>
      <c r="F330" s="172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4"/>
      <c r="V330" s="174"/>
      <c r="W330" s="174"/>
    </row>
    <row r="331" ht="12.75" customHeight="1">
      <c r="A331" s="171"/>
      <c r="B331" s="171"/>
      <c r="C331" s="171"/>
      <c r="D331" s="1"/>
      <c r="E331" s="171"/>
      <c r="F331" s="172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4"/>
      <c r="V331" s="174"/>
      <c r="W331" s="174"/>
    </row>
    <row r="332" ht="12.75" customHeight="1">
      <c r="A332" s="171"/>
      <c r="B332" s="171"/>
      <c r="C332" s="171"/>
      <c r="D332" s="1"/>
      <c r="E332" s="171"/>
      <c r="F332" s="172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4"/>
      <c r="V332" s="174"/>
      <c r="W332" s="174"/>
    </row>
    <row r="333" ht="12.75" customHeight="1">
      <c r="A333" s="171"/>
      <c r="B333" s="171"/>
      <c r="C333" s="171"/>
      <c r="D333" s="1"/>
      <c r="E333" s="171"/>
      <c r="F333" s="172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4"/>
      <c r="V333" s="174"/>
      <c r="W333" s="174"/>
    </row>
    <row r="334" ht="12.75" customHeight="1">
      <c r="A334" s="171"/>
      <c r="B334" s="171"/>
      <c r="C334" s="171"/>
      <c r="D334" s="1"/>
      <c r="E334" s="171"/>
      <c r="F334" s="172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4"/>
      <c r="V334" s="174"/>
      <c r="W334" s="174"/>
    </row>
    <row r="335" ht="12.75" customHeight="1">
      <c r="A335" s="171"/>
      <c r="B335" s="171"/>
      <c r="C335" s="171"/>
      <c r="D335" s="1"/>
      <c r="E335" s="171"/>
      <c r="F335" s="172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4"/>
      <c r="V335" s="174"/>
      <c r="W335" s="174"/>
    </row>
    <row r="336" ht="12.75" customHeight="1">
      <c r="A336" s="171"/>
      <c r="B336" s="171"/>
      <c r="C336" s="171"/>
      <c r="D336" s="1"/>
      <c r="E336" s="171"/>
      <c r="F336" s="172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4"/>
      <c r="V336" s="174"/>
      <c r="W336" s="174"/>
    </row>
    <row r="337" ht="12.75" customHeight="1">
      <c r="A337" s="171"/>
      <c r="B337" s="171"/>
      <c r="C337" s="171"/>
      <c r="D337" s="1"/>
      <c r="E337" s="171"/>
      <c r="F337" s="172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4"/>
      <c r="V337" s="174"/>
      <c r="W337" s="174"/>
    </row>
    <row r="338" ht="12.75" customHeight="1">
      <c r="A338" s="171"/>
      <c r="B338" s="171"/>
      <c r="C338" s="171"/>
      <c r="D338" s="1"/>
      <c r="E338" s="171"/>
      <c r="F338" s="172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4"/>
      <c r="V338" s="174"/>
      <c r="W338" s="174"/>
    </row>
    <row r="339" ht="12.75" customHeight="1">
      <c r="A339" s="171"/>
      <c r="B339" s="171"/>
      <c r="C339" s="171"/>
      <c r="D339" s="1"/>
      <c r="E339" s="171"/>
      <c r="F339" s="172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4"/>
      <c r="V339" s="174"/>
      <c r="W339" s="174"/>
    </row>
    <row r="340" ht="12.75" customHeight="1">
      <c r="A340" s="171"/>
      <c r="B340" s="171"/>
      <c r="C340" s="171"/>
      <c r="D340" s="1"/>
      <c r="E340" s="171"/>
      <c r="F340" s="172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4"/>
      <c r="V340" s="174"/>
      <c r="W340" s="174"/>
    </row>
    <row r="341" ht="12.75" customHeight="1">
      <c r="A341" s="171"/>
      <c r="B341" s="171"/>
      <c r="C341" s="171"/>
      <c r="D341" s="1"/>
      <c r="E341" s="171"/>
      <c r="F341" s="172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4"/>
      <c r="V341" s="174"/>
      <c r="W341" s="174"/>
    </row>
    <row r="342" ht="12.75" customHeight="1">
      <c r="A342" s="171"/>
      <c r="B342" s="171"/>
      <c r="C342" s="171"/>
      <c r="D342" s="1"/>
      <c r="E342" s="171"/>
      <c r="F342" s="172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4"/>
      <c r="V342" s="174"/>
      <c r="W342" s="174"/>
    </row>
    <row r="343" ht="12.75" customHeight="1">
      <c r="A343" s="171"/>
      <c r="B343" s="171"/>
      <c r="C343" s="171"/>
      <c r="D343" s="1"/>
      <c r="E343" s="171"/>
      <c r="F343" s="172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4"/>
      <c r="V343" s="174"/>
      <c r="W343" s="174"/>
    </row>
    <row r="344" ht="12.75" customHeight="1">
      <c r="A344" s="171"/>
      <c r="B344" s="171"/>
      <c r="C344" s="171"/>
      <c r="D344" s="1"/>
      <c r="E344" s="171"/>
      <c r="F344" s="172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4"/>
      <c r="V344" s="174"/>
      <c r="W344" s="174"/>
    </row>
    <row r="345" ht="12.75" customHeight="1">
      <c r="A345" s="171"/>
      <c r="B345" s="171"/>
      <c r="C345" s="171"/>
      <c r="D345" s="1"/>
      <c r="E345" s="171"/>
      <c r="F345" s="172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4"/>
      <c r="V345" s="174"/>
      <c r="W345" s="174"/>
    </row>
    <row r="346" ht="12.75" customHeight="1">
      <c r="A346" s="171"/>
      <c r="B346" s="171"/>
      <c r="C346" s="171"/>
      <c r="D346" s="1"/>
      <c r="E346" s="171"/>
      <c r="F346" s="172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4"/>
      <c r="V346" s="174"/>
      <c r="W346" s="174"/>
    </row>
    <row r="347" ht="12.75" customHeight="1">
      <c r="A347" s="171"/>
      <c r="B347" s="171"/>
      <c r="C347" s="171"/>
      <c r="D347" s="1"/>
      <c r="E347" s="171"/>
      <c r="F347" s="172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4"/>
      <c r="V347" s="174"/>
      <c r="W347" s="174"/>
    </row>
    <row r="348" ht="12.75" customHeight="1">
      <c r="A348" s="171"/>
      <c r="B348" s="171"/>
      <c r="C348" s="171"/>
      <c r="D348" s="1"/>
      <c r="E348" s="171"/>
      <c r="F348" s="172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4"/>
      <c r="V348" s="174"/>
      <c r="W348" s="174"/>
    </row>
    <row r="349" ht="12.75" customHeight="1">
      <c r="A349" s="171"/>
      <c r="B349" s="171"/>
      <c r="C349" s="171"/>
      <c r="D349" s="1"/>
      <c r="E349" s="171"/>
      <c r="F349" s="172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4"/>
      <c r="V349" s="174"/>
      <c r="W349" s="174"/>
    </row>
    <row r="350" ht="12.75" customHeight="1">
      <c r="A350" s="171"/>
      <c r="B350" s="171"/>
      <c r="C350" s="171"/>
      <c r="D350" s="1"/>
      <c r="E350" s="171"/>
      <c r="F350" s="172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4"/>
      <c r="V350" s="174"/>
      <c r="W350" s="174"/>
    </row>
    <row r="351" ht="12.75" customHeight="1">
      <c r="A351" s="171"/>
      <c r="B351" s="171"/>
      <c r="C351" s="171"/>
      <c r="D351" s="1"/>
      <c r="E351" s="171"/>
      <c r="F351" s="172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4"/>
      <c r="V351" s="174"/>
      <c r="W351" s="174"/>
    </row>
    <row r="352" ht="12.75" customHeight="1">
      <c r="A352" s="171"/>
      <c r="B352" s="171"/>
      <c r="C352" s="171"/>
      <c r="D352" s="1"/>
      <c r="E352" s="171"/>
      <c r="F352" s="172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4"/>
      <c r="V352" s="174"/>
      <c r="W352" s="174"/>
    </row>
    <row r="353" ht="12.75" customHeight="1">
      <c r="A353" s="171"/>
      <c r="B353" s="171"/>
      <c r="C353" s="171"/>
      <c r="D353" s="1"/>
      <c r="E353" s="171"/>
      <c r="F353" s="172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4"/>
      <c r="V353" s="174"/>
      <c r="W353" s="174"/>
    </row>
    <row r="354" ht="12.75" customHeight="1">
      <c r="A354" s="171"/>
      <c r="B354" s="171"/>
      <c r="C354" s="171"/>
      <c r="D354" s="1"/>
      <c r="E354" s="171"/>
      <c r="F354" s="172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4"/>
      <c r="V354" s="174"/>
      <c r="W354" s="174"/>
    </row>
    <row r="355" ht="12.75" customHeight="1">
      <c r="A355" s="171"/>
      <c r="B355" s="171"/>
      <c r="C355" s="171"/>
      <c r="D355" s="1"/>
      <c r="E355" s="171"/>
      <c r="F355" s="172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4"/>
      <c r="V355" s="174"/>
      <c r="W355" s="174"/>
    </row>
    <row r="356" ht="12.75" customHeight="1">
      <c r="A356" s="171"/>
      <c r="B356" s="171"/>
      <c r="C356" s="171"/>
      <c r="D356" s="1"/>
      <c r="E356" s="171"/>
      <c r="F356" s="172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4"/>
      <c r="V356" s="174"/>
      <c r="W356" s="174"/>
    </row>
    <row r="357" ht="12.75" customHeight="1">
      <c r="A357" s="171"/>
      <c r="B357" s="171"/>
      <c r="C357" s="171"/>
      <c r="D357" s="1"/>
      <c r="E357" s="171"/>
      <c r="F357" s="172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4"/>
      <c r="V357" s="174"/>
      <c r="W357" s="174"/>
    </row>
    <row r="358" ht="12.75" customHeight="1">
      <c r="A358" s="171"/>
      <c r="B358" s="171"/>
      <c r="C358" s="171"/>
      <c r="D358" s="1"/>
      <c r="E358" s="171"/>
      <c r="F358" s="172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4"/>
      <c r="V358" s="174"/>
      <c r="W358" s="174"/>
    </row>
    <row r="359" ht="12.75" customHeight="1">
      <c r="A359" s="171"/>
      <c r="B359" s="171"/>
      <c r="C359" s="171"/>
      <c r="D359" s="1"/>
      <c r="E359" s="171"/>
      <c r="F359" s="172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4"/>
      <c r="V359" s="174"/>
      <c r="W359" s="174"/>
    </row>
    <row r="360" ht="12.75" customHeight="1">
      <c r="A360" s="171"/>
      <c r="B360" s="171"/>
      <c r="C360" s="171"/>
      <c r="D360" s="1"/>
      <c r="E360" s="171"/>
      <c r="F360" s="172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4"/>
      <c r="V360" s="174"/>
      <c r="W360" s="174"/>
    </row>
    <row r="361" ht="12.75" customHeight="1">
      <c r="A361" s="171"/>
      <c r="B361" s="171"/>
      <c r="C361" s="171"/>
      <c r="D361" s="1"/>
      <c r="E361" s="171"/>
      <c r="F361" s="172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4"/>
      <c r="V361" s="174"/>
      <c r="W361" s="174"/>
    </row>
    <row r="362" ht="12.75" customHeight="1">
      <c r="A362" s="171"/>
      <c r="B362" s="171"/>
      <c r="C362" s="171"/>
      <c r="D362" s="1"/>
      <c r="E362" s="171"/>
      <c r="F362" s="172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4"/>
      <c r="V362" s="174"/>
      <c r="W362" s="174"/>
    </row>
    <row r="363" ht="12.75" customHeight="1">
      <c r="A363" s="171"/>
      <c r="B363" s="171"/>
      <c r="C363" s="171"/>
      <c r="D363" s="1"/>
      <c r="E363" s="171"/>
      <c r="F363" s="172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4"/>
      <c r="V363" s="174"/>
      <c r="W363" s="174"/>
    </row>
    <row r="364" ht="12.75" customHeight="1">
      <c r="A364" s="171"/>
      <c r="B364" s="171"/>
      <c r="C364" s="171"/>
      <c r="D364" s="1"/>
      <c r="E364" s="171"/>
      <c r="F364" s="172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4"/>
      <c r="V364" s="174"/>
      <c r="W364" s="174"/>
    </row>
    <row r="365" ht="12.75" customHeight="1">
      <c r="A365" s="171"/>
      <c r="B365" s="171"/>
      <c r="C365" s="171"/>
      <c r="D365" s="1"/>
      <c r="E365" s="171"/>
      <c r="F365" s="172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4"/>
      <c r="V365" s="174"/>
      <c r="W365" s="174"/>
    </row>
    <row r="366" ht="12.75" customHeight="1">
      <c r="A366" s="171"/>
      <c r="B366" s="171"/>
      <c r="C366" s="171"/>
      <c r="D366" s="1"/>
      <c r="E366" s="171"/>
      <c r="F366" s="172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4"/>
      <c r="V366" s="174"/>
      <c r="W366" s="174"/>
    </row>
    <row r="367" ht="12.75" customHeight="1">
      <c r="A367" s="171"/>
      <c r="B367" s="171"/>
      <c r="C367" s="171"/>
      <c r="D367" s="1"/>
      <c r="E367" s="171"/>
      <c r="F367" s="172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4"/>
      <c r="V367" s="174"/>
      <c r="W367" s="174"/>
    </row>
    <row r="368" ht="12.75" customHeight="1">
      <c r="A368" s="171"/>
      <c r="B368" s="171"/>
      <c r="C368" s="171"/>
      <c r="D368" s="1"/>
      <c r="E368" s="171"/>
      <c r="F368" s="172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4"/>
      <c r="V368" s="174"/>
      <c r="W368" s="174"/>
    </row>
    <row r="369" ht="12.75" customHeight="1">
      <c r="A369" s="171"/>
      <c r="B369" s="171"/>
      <c r="C369" s="171"/>
      <c r="D369" s="1"/>
      <c r="E369" s="171"/>
      <c r="F369" s="172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4"/>
      <c r="V369" s="174"/>
      <c r="W369" s="174"/>
    </row>
    <row r="370" ht="12.75" customHeight="1">
      <c r="A370" s="171"/>
      <c r="B370" s="171"/>
      <c r="C370" s="171"/>
      <c r="D370" s="1"/>
      <c r="E370" s="171"/>
      <c r="F370" s="172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4"/>
      <c r="V370" s="174"/>
      <c r="W370" s="174"/>
    </row>
    <row r="371" ht="12.75" customHeight="1">
      <c r="A371" s="171"/>
      <c r="B371" s="171"/>
      <c r="C371" s="171"/>
      <c r="D371" s="1"/>
      <c r="E371" s="171"/>
      <c r="F371" s="172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4"/>
      <c r="V371" s="174"/>
      <c r="W371" s="174"/>
    </row>
    <row r="372" ht="12.75" customHeight="1">
      <c r="A372" s="171"/>
      <c r="B372" s="171"/>
      <c r="C372" s="171"/>
      <c r="D372" s="1"/>
      <c r="E372" s="171"/>
      <c r="F372" s="172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4"/>
      <c r="V372" s="174"/>
      <c r="W372" s="174"/>
    </row>
    <row r="373" ht="12.75" customHeight="1">
      <c r="A373" s="171"/>
      <c r="B373" s="171"/>
      <c r="C373" s="171"/>
      <c r="D373" s="1"/>
      <c r="E373" s="171"/>
      <c r="F373" s="172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4"/>
      <c r="V373" s="174"/>
      <c r="W373" s="174"/>
    </row>
    <row r="374" ht="12.75" customHeight="1">
      <c r="A374" s="171"/>
      <c r="B374" s="171"/>
      <c r="C374" s="171"/>
      <c r="D374" s="1"/>
      <c r="E374" s="171"/>
      <c r="F374" s="172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4"/>
      <c r="V374" s="174"/>
      <c r="W374" s="174"/>
    </row>
    <row r="375" ht="12.75" customHeight="1">
      <c r="A375" s="171"/>
      <c r="B375" s="171"/>
      <c r="C375" s="171"/>
      <c r="D375" s="1"/>
      <c r="E375" s="171"/>
      <c r="F375" s="172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4"/>
      <c r="V375" s="174"/>
      <c r="W375" s="174"/>
    </row>
    <row r="376" ht="12.75" customHeight="1">
      <c r="A376" s="171"/>
      <c r="B376" s="171"/>
      <c r="C376" s="171"/>
      <c r="D376" s="1"/>
      <c r="E376" s="171"/>
      <c r="F376" s="172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4"/>
      <c r="V376" s="174"/>
      <c r="W376" s="174"/>
    </row>
    <row r="377" ht="12.75" customHeight="1">
      <c r="A377" s="171"/>
      <c r="B377" s="171"/>
      <c r="C377" s="171"/>
      <c r="D377" s="1"/>
      <c r="E377" s="171"/>
      <c r="F377" s="172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4"/>
      <c r="V377" s="174"/>
      <c r="W377" s="174"/>
    </row>
    <row r="378" ht="12.75" customHeight="1">
      <c r="A378" s="171"/>
      <c r="B378" s="171"/>
      <c r="C378" s="171"/>
      <c r="D378" s="1"/>
      <c r="E378" s="171"/>
      <c r="F378" s="172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4"/>
      <c r="V378" s="174"/>
      <c r="W378" s="174"/>
    </row>
    <row r="379" ht="12.75" customHeight="1">
      <c r="A379" s="171"/>
      <c r="B379" s="171"/>
      <c r="C379" s="171"/>
      <c r="D379" s="1"/>
      <c r="E379" s="171"/>
      <c r="F379" s="172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4"/>
      <c r="V379" s="174"/>
      <c r="W379" s="174"/>
    </row>
    <row r="380" ht="12.75" customHeight="1">
      <c r="A380" s="171"/>
      <c r="B380" s="171"/>
      <c r="C380" s="171"/>
      <c r="D380" s="1"/>
      <c r="E380" s="171"/>
      <c r="F380" s="172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4"/>
      <c r="V380" s="174"/>
      <c r="W380" s="174"/>
    </row>
    <row r="381" ht="12.75" customHeight="1">
      <c r="A381" s="171"/>
      <c r="B381" s="171"/>
      <c r="C381" s="171"/>
      <c r="D381" s="1"/>
      <c r="E381" s="171"/>
      <c r="F381" s="172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4"/>
      <c r="V381" s="174"/>
      <c r="W381" s="174"/>
    </row>
    <row r="382" ht="12.75" customHeight="1">
      <c r="A382" s="171"/>
      <c r="B382" s="171"/>
      <c r="C382" s="171"/>
      <c r="D382" s="1"/>
      <c r="E382" s="171"/>
      <c r="F382" s="172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4"/>
      <c r="V382" s="174"/>
      <c r="W382" s="174"/>
    </row>
    <row r="383" ht="12.75" customHeight="1">
      <c r="A383" s="171"/>
      <c r="B383" s="171"/>
      <c r="C383" s="171"/>
      <c r="D383" s="1"/>
      <c r="E383" s="171"/>
      <c r="F383" s="172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4"/>
      <c r="V383" s="174"/>
      <c r="W383" s="174"/>
    </row>
    <row r="384" ht="12.75" customHeight="1">
      <c r="A384" s="171"/>
      <c r="B384" s="171"/>
      <c r="C384" s="171"/>
      <c r="D384" s="1"/>
      <c r="E384" s="171"/>
      <c r="F384" s="172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4"/>
      <c r="V384" s="174"/>
      <c r="W384" s="174"/>
    </row>
    <row r="385" ht="12.75" customHeight="1">
      <c r="A385" s="171"/>
      <c r="B385" s="171"/>
      <c r="C385" s="171"/>
      <c r="D385" s="1"/>
      <c r="E385" s="171"/>
      <c r="F385" s="172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4"/>
      <c r="V385" s="174"/>
      <c r="W385" s="174"/>
    </row>
    <row r="386" ht="12.75" customHeight="1">
      <c r="A386" s="171"/>
      <c r="B386" s="171"/>
      <c r="C386" s="171"/>
      <c r="D386" s="1"/>
      <c r="E386" s="171"/>
      <c r="F386" s="172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4"/>
      <c r="V386" s="174"/>
      <c r="W386" s="174"/>
    </row>
    <row r="387" ht="12.75" customHeight="1">
      <c r="A387" s="171"/>
      <c r="B387" s="171"/>
      <c r="C387" s="171"/>
      <c r="D387" s="1"/>
      <c r="E387" s="171"/>
      <c r="F387" s="172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4"/>
      <c r="V387" s="174"/>
      <c r="W387" s="174"/>
    </row>
    <row r="388" ht="12.75" customHeight="1">
      <c r="A388" s="171"/>
      <c r="B388" s="171"/>
      <c r="C388" s="171"/>
      <c r="D388" s="1"/>
      <c r="E388" s="171"/>
      <c r="F388" s="172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4"/>
      <c r="V388" s="174"/>
      <c r="W388" s="174"/>
    </row>
    <row r="389" ht="12.75" customHeight="1">
      <c r="A389" s="171"/>
      <c r="B389" s="171"/>
      <c r="C389" s="171"/>
      <c r="D389" s="1"/>
      <c r="E389" s="171"/>
      <c r="F389" s="172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4"/>
      <c r="V389" s="174"/>
      <c r="W389" s="174"/>
    </row>
    <row r="390" ht="12.75" customHeight="1">
      <c r="A390" s="171"/>
      <c r="B390" s="171"/>
      <c r="C390" s="171"/>
      <c r="D390" s="1"/>
      <c r="E390" s="171"/>
      <c r="F390" s="172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4"/>
      <c r="V390" s="174"/>
      <c r="W390" s="174"/>
    </row>
    <row r="391" ht="12.75" customHeight="1">
      <c r="A391" s="171"/>
      <c r="B391" s="171"/>
      <c r="C391" s="171"/>
      <c r="D391" s="1"/>
      <c r="E391" s="171"/>
      <c r="F391" s="172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4"/>
      <c r="V391" s="174"/>
      <c r="W391" s="174"/>
    </row>
    <row r="392" ht="12.75" customHeight="1">
      <c r="A392" s="171"/>
      <c r="B392" s="171"/>
      <c r="C392" s="171"/>
      <c r="D392" s="1"/>
      <c r="E392" s="171"/>
      <c r="F392" s="172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4"/>
      <c r="V392" s="174"/>
      <c r="W392" s="174"/>
    </row>
    <row r="393" ht="12.75" customHeight="1">
      <c r="A393" s="171"/>
      <c r="B393" s="171"/>
      <c r="C393" s="171"/>
      <c r="D393" s="1"/>
      <c r="E393" s="171"/>
      <c r="F393" s="172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4"/>
      <c r="V393" s="174"/>
      <c r="W393" s="174"/>
    </row>
    <row r="394" ht="12.75" customHeight="1">
      <c r="A394" s="171"/>
      <c r="B394" s="171"/>
      <c r="C394" s="171"/>
      <c r="D394" s="1"/>
      <c r="E394" s="171"/>
      <c r="F394" s="172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4"/>
      <c r="V394" s="174"/>
      <c r="W394" s="174"/>
    </row>
    <row r="395" ht="12.75" customHeight="1">
      <c r="A395" s="171"/>
      <c r="B395" s="171"/>
      <c r="C395" s="171"/>
      <c r="D395" s="1"/>
      <c r="E395" s="171"/>
      <c r="F395" s="172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4"/>
      <c r="V395" s="174"/>
      <c r="W395" s="174"/>
    </row>
    <row r="396" ht="12.75" customHeight="1">
      <c r="A396" s="171"/>
      <c r="B396" s="171"/>
      <c r="C396" s="171"/>
      <c r="D396" s="1"/>
      <c r="E396" s="171"/>
      <c r="F396" s="172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4"/>
      <c r="V396" s="174"/>
      <c r="W396" s="174"/>
    </row>
    <row r="397" ht="12.75" customHeight="1">
      <c r="A397" s="171"/>
      <c r="B397" s="171"/>
      <c r="C397" s="171"/>
      <c r="D397" s="1"/>
      <c r="E397" s="171"/>
      <c r="F397" s="172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4"/>
      <c r="V397" s="174"/>
      <c r="W397" s="174"/>
    </row>
    <row r="398" ht="12.75" customHeight="1">
      <c r="A398" s="171"/>
      <c r="B398" s="171"/>
      <c r="C398" s="171"/>
      <c r="D398" s="1"/>
      <c r="E398" s="171"/>
      <c r="F398" s="172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4"/>
      <c r="V398" s="174"/>
      <c r="W398" s="174"/>
    </row>
    <row r="399" ht="12.75" customHeight="1">
      <c r="A399" s="171"/>
      <c r="B399" s="171"/>
      <c r="C399" s="171"/>
      <c r="D399" s="1"/>
      <c r="E399" s="171"/>
      <c r="F399" s="172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4"/>
      <c r="V399" s="174"/>
      <c r="W399" s="174"/>
    </row>
    <row r="400" ht="12.75" customHeight="1">
      <c r="A400" s="171"/>
      <c r="B400" s="171"/>
      <c r="C400" s="171"/>
      <c r="D400" s="1"/>
      <c r="E400" s="171"/>
      <c r="F400" s="172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4"/>
      <c r="V400" s="174"/>
      <c r="W400" s="174"/>
    </row>
    <row r="401" ht="12.75" customHeight="1">
      <c r="A401" s="171"/>
      <c r="B401" s="171"/>
      <c r="C401" s="171"/>
      <c r="D401" s="1"/>
      <c r="E401" s="171"/>
      <c r="F401" s="172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4"/>
      <c r="V401" s="174"/>
      <c r="W401" s="174"/>
    </row>
    <row r="402" ht="12.75" customHeight="1">
      <c r="A402" s="171"/>
      <c r="B402" s="171"/>
      <c r="C402" s="171"/>
      <c r="D402" s="1"/>
      <c r="E402" s="171"/>
      <c r="F402" s="172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4"/>
      <c r="V402" s="174"/>
      <c r="W402" s="174"/>
    </row>
    <row r="403" ht="12.75" customHeight="1">
      <c r="A403" s="171"/>
      <c r="B403" s="171"/>
      <c r="C403" s="171"/>
      <c r="D403" s="1"/>
      <c r="E403" s="171"/>
      <c r="F403" s="172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4"/>
      <c r="V403" s="174"/>
      <c r="W403" s="174"/>
    </row>
    <row r="404" ht="12.75" customHeight="1">
      <c r="A404" s="171"/>
      <c r="B404" s="171"/>
      <c r="C404" s="171"/>
      <c r="D404" s="1"/>
      <c r="E404" s="171"/>
      <c r="F404" s="172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4"/>
      <c r="V404" s="174"/>
      <c r="W404" s="174"/>
    </row>
    <row r="405" ht="12.75" customHeight="1">
      <c r="A405" s="171"/>
      <c r="B405" s="171"/>
      <c r="C405" s="171"/>
      <c r="D405" s="1"/>
      <c r="E405" s="171"/>
      <c r="F405" s="172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4"/>
      <c r="V405" s="174"/>
      <c r="W405" s="174"/>
    </row>
    <row r="406" ht="12.75" customHeight="1">
      <c r="A406" s="171"/>
      <c r="B406" s="171"/>
      <c r="C406" s="171"/>
      <c r="D406" s="1"/>
      <c r="E406" s="171"/>
      <c r="F406" s="172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4"/>
      <c r="V406" s="174"/>
      <c r="W406" s="174"/>
    </row>
    <row r="407" ht="12.75" customHeight="1">
      <c r="A407" s="171"/>
      <c r="B407" s="171"/>
      <c r="C407" s="171"/>
      <c r="D407" s="1"/>
      <c r="E407" s="171"/>
      <c r="F407" s="172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4"/>
      <c r="V407" s="174"/>
      <c r="W407" s="174"/>
    </row>
    <row r="408" ht="12.75" customHeight="1">
      <c r="A408" s="171"/>
      <c r="B408" s="171"/>
      <c r="C408" s="171"/>
      <c r="D408" s="1"/>
      <c r="E408" s="171"/>
      <c r="F408" s="172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4"/>
      <c r="V408" s="174"/>
      <c r="W408" s="174"/>
    </row>
    <row r="409" ht="12.75" customHeight="1">
      <c r="A409" s="171"/>
      <c r="B409" s="171"/>
      <c r="C409" s="171"/>
      <c r="D409" s="1"/>
      <c r="E409" s="171"/>
      <c r="F409" s="172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4"/>
      <c r="V409" s="174"/>
      <c r="W409" s="174"/>
    </row>
    <row r="410" ht="12.75" customHeight="1">
      <c r="A410" s="171"/>
      <c r="B410" s="171"/>
      <c r="C410" s="171"/>
      <c r="D410" s="1"/>
      <c r="E410" s="171"/>
      <c r="F410" s="172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4"/>
      <c r="V410" s="174"/>
      <c r="W410" s="174"/>
    </row>
    <row r="411" ht="12.75" customHeight="1">
      <c r="A411" s="171"/>
      <c r="B411" s="171"/>
      <c r="C411" s="171"/>
      <c r="D411" s="1"/>
      <c r="E411" s="171"/>
      <c r="F411" s="172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4"/>
      <c r="V411" s="174"/>
      <c r="W411" s="174"/>
    </row>
    <row r="412" ht="12.75" customHeight="1">
      <c r="A412" s="171"/>
      <c r="B412" s="171"/>
      <c r="C412" s="171"/>
      <c r="D412" s="1"/>
      <c r="E412" s="171"/>
      <c r="F412" s="172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4"/>
      <c r="V412" s="174"/>
      <c r="W412" s="174"/>
    </row>
    <row r="413" ht="12.75" customHeight="1">
      <c r="A413" s="171"/>
      <c r="B413" s="171"/>
      <c r="C413" s="171"/>
      <c r="D413" s="1"/>
      <c r="E413" s="171"/>
      <c r="F413" s="172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4"/>
      <c r="V413" s="174"/>
      <c r="W413" s="174"/>
    </row>
    <row r="414" ht="12.75" customHeight="1">
      <c r="A414" s="171"/>
      <c r="B414" s="171"/>
      <c r="C414" s="171"/>
      <c r="D414" s="1"/>
      <c r="E414" s="171"/>
      <c r="F414" s="172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4"/>
      <c r="V414" s="174"/>
      <c r="W414" s="174"/>
    </row>
    <row r="415" ht="12.75" customHeight="1">
      <c r="A415" s="171"/>
      <c r="B415" s="171"/>
      <c r="C415" s="171"/>
      <c r="D415" s="1"/>
      <c r="E415" s="171"/>
      <c r="F415" s="172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4"/>
      <c r="V415" s="174"/>
      <c r="W415" s="174"/>
    </row>
    <row r="416" ht="12.75" customHeight="1">
      <c r="A416" s="171"/>
      <c r="B416" s="171"/>
      <c r="C416" s="171"/>
      <c r="D416" s="1"/>
      <c r="E416" s="171"/>
      <c r="F416" s="172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4"/>
      <c r="V416" s="174"/>
      <c r="W416" s="174"/>
    </row>
    <row r="417" ht="12.75" customHeight="1">
      <c r="A417" s="171"/>
      <c r="B417" s="171"/>
      <c r="C417" s="171"/>
      <c r="D417" s="1"/>
      <c r="E417" s="171"/>
      <c r="F417" s="172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4"/>
      <c r="V417" s="174"/>
      <c r="W417" s="174"/>
    </row>
    <row r="418" ht="12.75" customHeight="1">
      <c r="A418" s="171"/>
      <c r="B418" s="171"/>
      <c r="C418" s="171"/>
      <c r="D418" s="1"/>
      <c r="E418" s="171"/>
      <c r="F418" s="172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4"/>
      <c r="V418" s="174"/>
      <c r="W418" s="174"/>
    </row>
    <row r="419" ht="12.75" customHeight="1">
      <c r="A419" s="171"/>
      <c r="B419" s="171"/>
      <c r="C419" s="171"/>
      <c r="D419" s="1"/>
      <c r="E419" s="171"/>
      <c r="F419" s="172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4"/>
      <c r="V419" s="174"/>
      <c r="W419" s="174"/>
    </row>
    <row r="420" ht="12.75" customHeight="1">
      <c r="A420" s="171"/>
      <c r="B420" s="171"/>
      <c r="C420" s="171"/>
      <c r="D420" s="1"/>
      <c r="E420" s="171"/>
      <c r="F420" s="172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4"/>
      <c r="V420" s="174"/>
      <c r="W420" s="174"/>
    </row>
    <row r="421" ht="12.75" customHeight="1">
      <c r="A421" s="171"/>
      <c r="B421" s="171"/>
      <c r="C421" s="171"/>
      <c r="D421" s="1"/>
      <c r="E421" s="171"/>
      <c r="F421" s="172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4"/>
      <c r="V421" s="174"/>
      <c r="W421" s="174"/>
    </row>
    <row r="422" ht="12.75" customHeight="1">
      <c r="A422" s="171"/>
      <c r="B422" s="171"/>
      <c r="C422" s="171"/>
      <c r="D422" s="1"/>
      <c r="E422" s="171"/>
      <c r="F422" s="172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4"/>
      <c r="V422" s="174"/>
      <c r="W422" s="174"/>
    </row>
    <row r="423" ht="12.75" customHeight="1">
      <c r="A423" s="171"/>
      <c r="B423" s="171"/>
      <c r="C423" s="171"/>
      <c r="D423" s="1"/>
      <c r="E423" s="171"/>
      <c r="F423" s="172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4"/>
      <c r="V423" s="174"/>
      <c r="W423" s="174"/>
    </row>
    <row r="424" ht="12.75" customHeight="1">
      <c r="A424" s="171"/>
      <c r="B424" s="171"/>
      <c r="C424" s="171"/>
      <c r="D424" s="1"/>
      <c r="E424" s="171"/>
      <c r="F424" s="172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4"/>
      <c r="V424" s="174"/>
      <c r="W424" s="174"/>
    </row>
    <row r="425" ht="12.75" customHeight="1">
      <c r="A425" s="171"/>
      <c r="B425" s="171"/>
      <c r="C425" s="171"/>
      <c r="D425" s="1"/>
      <c r="E425" s="171"/>
      <c r="F425" s="172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4"/>
      <c r="V425" s="174"/>
      <c r="W425" s="174"/>
    </row>
    <row r="426" ht="12.75" customHeight="1">
      <c r="A426" s="171"/>
      <c r="B426" s="171"/>
      <c r="C426" s="171"/>
      <c r="D426" s="1"/>
      <c r="E426" s="171"/>
      <c r="F426" s="172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4"/>
      <c r="V426" s="174"/>
      <c r="W426" s="174"/>
    </row>
    <row r="427" ht="12.75" customHeight="1">
      <c r="A427" s="171"/>
      <c r="B427" s="171"/>
      <c r="C427" s="171"/>
      <c r="D427" s="1"/>
      <c r="E427" s="171"/>
      <c r="F427" s="172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4"/>
      <c r="V427" s="174"/>
      <c r="W427" s="174"/>
    </row>
    <row r="428" ht="12.75" customHeight="1">
      <c r="A428" s="171"/>
      <c r="B428" s="171"/>
      <c r="C428" s="171"/>
      <c r="D428" s="1"/>
      <c r="E428" s="171"/>
      <c r="F428" s="172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4"/>
      <c r="V428" s="174"/>
      <c r="W428" s="174"/>
    </row>
    <row r="429" ht="12.75" customHeight="1">
      <c r="A429" s="171"/>
      <c r="B429" s="171"/>
      <c r="C429" s="171"/>
      <c r="D429" s="1"/>
      <c r="E429" s="171"/>
      <c r="F429" s="172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4"/>
      <c r="V429" s="174"/>
      <c r="W429" s="174"/>
    </row>
    <row r="430" ht="12.75" customHeight="1">
      <c r="A430" s="171"/>
      <c r="B430" s="171"/>
      <c r="C430" s="171"/>
      <c r="D430" s="1"/>
      <c r="E430" s="171"/>
      <c r="F430" s="172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4"/>
      <c r="V430" s="174"/>
      <c r="W430" s="174"/>
    </row>
    <row r="431" ht="12.75" customHeight="1">
      <c r="A431" s="171"/>
      <c r="B431" s="171"/>
      <c r="C431" s="171"/>
      <c r="D431" s="1"/>
      <c r="E431" s="171"/>
      <c r="F431" s="172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4"/>
      <c r="V431" s="174"/>
      <c r="W431" s="174"/>
    </row>
    <row r="432" ht="12.75" customHeight="1">
      <c r="A432" s="171"/>
      <c r="B432" s="171"/>
      <c r="C432" s="171"/>
      <c r="D432" s="1"/>
      <c r="E432" s="171"/>
      <c r="F432" s="172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4"/>
      <c r="V432" s="174"/>
      <c r="W432" s="174"/>
    </row>
    <row r="433" ht="12.75" customHeight="1">
      <c r="A433" s="171"/>
      <c r="B433" s="171"/>
      <c r="C433" s="171"/>
      <c r="D433" s="1"/>
      <c r="E433" s="171"/>
      <c r="F433" s="172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4"/>
      <c r="V433" s="174"/>
      <c r="W433" s="174"/>
    </row>
    <row r="434" ht="12.75" customHeight="1">
      <c r="A434" s="171"/>
      <c r="B434" s="171"/>
      <c r="C434" s="171"/>
      <c r="D434" s="1"/>
      <c r="E434" s="171"/>
      <c r="F434" s="172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4"/>
      <c r="V434" s="174"/>
      <c r="W434" s="174"/>
    </row>
    <row r="435" ht="12.75" customHeight="1">
      <c r="A435" s="171"/>
      <c r="B435" s="171"/>
      <c r="C435" s="171"/>
      <c r="D435" s="1"/>
      <c r="E435" s="171"/>
      <c r="F435" s="172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4"/>
      <c r="V435" s="174"/>
      <c r="W435" s="174"/>
    </row>
    <row r="436" ht="12.75" customHeight="1">
      <c r="A436" s="171"/>
      <c r="B436" s="171"/>
      <c r="C436" s="171"/>
      <c r="D436" s="1"/>
      <c r="E436" s="171"/>
      <c r="F436" s="172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4"/>
      <c r="V436" s="174"/>
      <c r="W436" s="174"/>
    </row>
    <row r="437" ht="12.75" customHeight="1">
      <c r="A437" s="171"/>
      <c r="B437" s="171"/>
      <c r="C437" s="171"/>
      <c r="D437" s="1"/>
      <c r="E437" s="171"/>
      <c r="F437" s="172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4"/>
      <c r="V437" s="174"/>
      <c r="W437" s="174"/>
    </row>
    <row r="438" ht="12.75" customHeight="1">
      <c r="A438" s="171"/>
      <c r="B438" s="171"/>
      <c r="C438" s="171"/>
      <c r="D438" s="1"/>
      <c r="E438" s="171"/>
      <c r="F438" s="172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4"/>
      <c r="V438" s="174"/>
      <c r="W438" s="174"/>
    </row>
    <row r="439" ht="12.75" customHeight="1">
      <c r="A439" s="171"/>
      <c r="B439" s="171"/>
      <c r="C439" s="171"/>
      <c r="D439" s="1"/>
      <c r="E439" s="171"/>
      <c r="F439" s="172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4"/>
      <c r="V439" s="174"/>
      <c r="W439" s="174"/>
    </row>
    <row r="440" ht="12.75" customHeight="1">
      <c r="A440" s="171"/>
      <c r="B440" s="171"/>
      <c r="C440" s="171"/>
      <c r="D440" s="1"/>
      <c r="E440" s="171"/>
      <c r="F440" s="172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4"/>
      <c r="V440" s="174"/>
      <c r="W440" s="174"/>
    </row>
    <row r="441" ht="12.75" customHeight="1">
      <c r="A441" s="171"/>
      <c r="B441" s="171"/>
      <c r="C441" s="171"/>
      <c r="D441" s="1"/>
      <c r="E441" s="171"/>
      <c r="F441" s="172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4"/>
      <c r="V441" s="174"/>
      <c r="W441" s="174"/>
    </row>
    <row r="442" ht="12.75" customHeight="1">
      <c r="A442" s="171"/>
      <c r="B442" s="171"/>
      <c r="C442" s="171"/>
      <c r="D442" s="1"/>
      <c r="E442" s="171"/>
      <c r="F442" s="172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4"/>
      <c r="V442" s="174"/>
      <c r="W442" s="174"/>
    </row>
    <row r="443" ht="12.75" customHeight="1">
      <c r="A443" s="171"/>
      <c r="B443" s="171"/>
      <c r="C443" s="171"/>
      <c r="D443" s="1"/>
      <c r="E443" s="171"/>
      <c r="F443" s="172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4"/>
      <c r="V443" s="174"/>
      <c r="W443" s="174"/>
    </row>
    <row r="444" ht="12.75" customHeight="1">
      <c r="A444" s="171"/>
      <c r="B444" s="171"/>
      <c r="C444" s="171"/>
      <c r="D444" s="1"/>
      <c r="E444" s="171"/>
      <c r="F444" s="172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4"/>
      <c r="V444" s="174"/>
      <c r="W444" s="174"/>
    </row>
    <row r="445" ht="12.75" customHeight="1">
      <c r="A445" s="171"/>
      <c r="B445" s="171"/>
      <c r="C445" s="171"/>
      <c r="D445" s="1"/>
      <c r="E445" s="171"/>
      <c r="F445" s="172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4"/>
      <c r="V445" s="174"/>
      <c r="W445" s="174"/>
    </row>
    <row r="446" ht="12.75" customHeight="1">
      <c r="A446" s="171"/>
      <c r="B446" s="171"/>
      <c r="C446" s="171"/>
      <c r="D446" s="1"/>
      <c r="E446" s="171"/>
      <c r="F446" s="172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4"/>
      <c r="V446" s="174"/>
      <c r="W446" s="174"/>
    </row>
    <row r="447" ht="12.75" customHeight="1">
      <c r="A447" s="171"/>
      <c r="B447" s="171"/>
      <c r="C447" s="171"/>
      <c r="D447" s="1"/>
      <c r="E447" s="171"/>
      <c r="F447" s="172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4"/>
      <c r="V447" s="174"/>
      <c r="W447" s="174"/>
    </row>
    <row r="448" ht="12.75" customHeight="1">
      <c r="A448" s="171"/>
      <c r="B448" s="171"/>
      <c r="C448" s="171"/>
      <c r="D448" s="1"/>
      <c r="E448" s="171"/>
      <c r="F448" s="172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4"/>
      <c r="V448" s="174"/>
      <c r="W448" s="174"/>
    </row>
    <row r="449" ht="12.75" customHeight="1">
      <c r="A449" s="171"/>
      <c r="B449" s="171"/>
      <c r="C449" s="171"/>
      <c r="D449" s="1"/>
      <c r="E449" s="171"/>
      <c r="F449" s="172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4"/>
      <c r="V449" s="174"/>
      <c r="W449" s="174"/>
    </row>
    <row r="450" ht="12.75" customHeight="1">
      <c r="A450" s="171"/>
      <c r="B450" s="171"/>
      <c r="C450" s="171"/>
      <c r="D450" s="1"/>
      <c r="E450" s="171"/>
      <c r="F450" s="172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4"/>
      <c r="V450" s="174"/>
      <c r="W450" s="174"/>
    </row>
    <row r="451" ht="12.75" customHeight="1">
      <c r="A451" s="171"/>
      <c r="B451" s="171"/>
      <c r="C451" s="171"/>
      <c r="D451" s="1"/>
      <c r="E451" s="171"/>
      <c r="F451" s="172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4"/>
      <c r="V451" s="174"/>
      <c r="W451" s="174"/>
    </row>
    <row r="452" ht="12.75" customHeight="1">
      <c r="A452" s="171"/>
      <c r="B452" s="171"/>
      <c r="C452" s="171"/>
      <c r="D452" s="1"/>
      <c r="E452" s="171"/>
      <c r="F452" s="172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4"/>
      <c r="V452" s="174"/>
      <c r="W452" s="174"/>
    </row>
    <row r="453" ht="12.75" customHeight="1">
      <c r="A453" s="171"/>
      <c r="B453" s="171"/>
      <c r="C453" s="171"/>
      <c r="D453" s="1"/>
      <c r="E453" s="171"/>
      <c r="F453" s="172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4"/>
      <c r="V453" s="174"/>
      <c r="W453" s="174"/>
    </row>
    <row r="454" ht="12.75" customHeight="1">
      <c r="A454" s="171"/>
      <c r="B454" s="171"/>
      <c r="C454" s="171"/>
      <c r="D454" s="1"/>
      <c r="E454" s="171"/>
      <c r="F454" s="172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4"/>
      <c r="V454" s="174"/>
      <c r="W454" s="174"/>
    </row>
    <row r="455" ht="12.75" customHeight="1">
      <c r="A455" s="171"/>
      <c r="B455" s="171"/>
      <c r="C455" s="171"/>
      <c r="D455" s="1"/>
      <c r="E455" s="171"/>
      <c r="F455" s="172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4"/>
      <c r="V455" s="174"/>
      <c r="W455" s="174"/>
    </row>
    <row r="456" ht="12.75" customHeight="1">
      <c r="A456" s="171"/>
      <c r="B456" s="171"/>
      <c r="C456" s="171"/>
      <c r="D456" s="1"/>
      <c r="E456" s="171"/>
      <c r="F456" s="172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4"/>
      <c r="V456" s="174"/>
      <c r="W456" s="174"/>
    </row>
    <row r="457" ht="12.75" customHeight="1">
      <c r="A457" s="171"/>
      <c r="B457" s="171"/>
      <c r="C457" s="171"/>
      <c r="D457" s="1"/>
      <c r="E457" s="171"/>
      <c r="F457" s="172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4"/>
      <c r="V457" s="174"/>
      <c r="W457" s="174"/>
    </row>
    <row r="458" ht="12.75" customHeight="1">
      <c r="A458" s="171"/>
      <c r="B458" s="171"/>
      <c r="C458" s="171"/>
      <c r="D458" s="1"/>
      <c r="E458" s="171"/>
      <c r="F458" s="172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4"/>
      <c r="V458" s="174"/>
      <c r="W458" s="174"/>
    </row>
    <row r="459" ht="12.75" customHeight="1">
      <c r="A459" s="171"/>
      <c r="B459" s="171"/>
      <c r="C459" s="171"/>
      <c r="D459" s="1"/>
      <c r="E459" s="171"/>
      <c r="F459" s="172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4"/>
      <c r="V459" s="174"/>
      <c r="W459" s="174"/>
    </row>
    <row r="460" ht="12.75" customHeight="1">
      <c r="A460" s="171"/>
      <c r="B460" s="171"/>
      <c r="C460" s="171"/>
      <c r="D460" s="1"/>
      <c r="E460" s="171"/>
      <c r="F460" s="172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4"/>
      <c r="V460" s="174"/>
      <c r="W460" s="174"/>
    </row>
    <row r="461" ht="12.75" customHeight="1">
      <c r="A461" s="171"/>
      <c r="B461" s="171"/>
      <c r="C461" s="171"/>
      <c r="D461" s="1"/>
      <c r="E461" s="171"/>
      <c r="F461" s="172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4"/>
      <c r="V461" s="174"/>
      <c r="W461" s="174"/>
    </row>
    <row r="462" ht="12.75" customHeight="1">
      <c r="A462" s="171"/>
      <c r="B462" s="171"/>
      <c r="C462" s="171"/>
      <c r="D462" s="1"/>
      <c r="E462" s="171"/>
      <c r="F462" s="172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4"/>
      <c r="V462" s="174"/>
      <c r="W462" s="174"/>
    </row>
    <row r="463" ht="12.75" customHeight="1">
      <c r="A463" s="171"/>
      <c r="B463" s="171"/>
      <c r="C463" s="171"/>
      <c r="D463" s="1"/>
      <c r="E463" s="171"/>
      <c r="F463" s="172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4"/>
      <c r="V463" s="174"/>
      <c r="W463" s="174"/>
    </row>
    <row r="464" ht="12.75" customHeight="1">
      <c r="A464" s="171"/>
      <c r="B464" s="171"/>
      <c r="C464" s="171"/>
      <c r="D464" s="1"/>
      <c r="E464" s="171"/>
      <c r="F464" s="172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4"/>
      <c r="V464" s="174"/>
      <c r="W464" s="174"/>
    </row>
    <row r="465" ht="12.75" customHeight="1">
      <c r="A465" s="171"/>
      <c r="B465" s="171"/>
      <c r="C465" s="171"/>
      <c r="D465" s="1"/>
      <c r="E465" s="171"/>
      <c r="F465" s="172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4"/>
      <c r="V465" s="174"/>
      <c r="W465" s="174"/>
    </row>
    <row r="466" ht="12.75" customHeight="1">
      <c r="A466" s="171"/>
      <c r="B466" s="171"/>
      <c r="C466" s="171"/>
      <c r="D466" s="1"/>
      <c r="E466" s="171"/>
      <c r="F466" s="172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4"/>
      <c r="V466" s="174"/>
      <c r="W466" s="174"/>
    </row>
    <row r="467" ht="12.75" customHeight="1">
      <c r="A467" s="171"/>
      <c r="B467" s="171"/>
      <c r="C467" s="171"/>
      <c r="D467" s="1"/>
      <c r="E467" s="171"/>
      <c r="F467" s="172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4"/>
      <c r="V467" s="174"/>
      <c r="W467" s="174"/>
    </row>
    <row r="468" ht="12.75" customHeight="1">
      <c r="A468" s="171"/>
      <c r="B468" s="171"/>
      <c r="C468" s="171"/>
      <c r="D468" s="1"/>
      <c r="E468" s="171"/>
      <c r="F468" s="172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4"/>
      <c r="V468" s="174"/>
      <c r="W468" s="174"/>
    </row>
    <row r="469" ht="12.75" customHeight="1">
      <c r="A469" s="171"/>
      <c r="B469" s="171"/>
      <c r="C469" s="171"/>
      <c r="D469" s="1"/>
      <c r="E469" s="171"/>
      <c r="F469" s="172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4"/>
      <c r="V469" s="174"/>
      <c r="W469" s="174"/>
    </row>
    <row r="470" ht="12.75" customHeight="1">
      <c r="A470" s="171"/>
      <c r="B470" s="171"/>
      <c r="C470" s="171"/>
      <c r="D470" s="1"/>
      <c r="E470" s="171"/>
      <c r="F470" s="172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4"/>
      <c r="V470" s="174"/>
      <c r="W470" s="174"/>
    </row>
    <row r="471" ht="12.75" customHeight="1">
      <c r="A471" s="171"/>
      <c r="B471" s="171"/>
      <c r="C471" s="171"/>
      <c r="D471" s="1"/>
      <c r="E471" s="171"/>
      <c r="F471" s="172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4"/>
      <c r="V471" s="174"/>
      <c r="W471" s="174"/>
    </row>
    <row r="472" ht="12.75" customHeight="1">
      <c r="A472" s="171"/>
      <c r="B472" s="171"/>
      <c r="C472" s="171"/>
      <c r="D472" s="1"/>
      <c r="E472" s="171"/>
      <c r="F472" s="172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4"/>
      <c r="V472" s="174"/>
      <c r="W472" s="174"/>
    </row>
    <row r="473" ht="12.75" customHeight="1">
      <c r="A473" s="171"/>
      <c r="B473" s="171"/>
      <c r="C473" s="171"/>
      <c r="D473" s="1"/>
      <c r="E473" s="171"/>
      <c r="F473" s="172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4"/>
      <c r="V473" s="174"/>
      <c r="W473" s="174"/>
    </row>
    <row r="474" ht="12.75" customHeight="1">
      <c r="A474" s="171"/>
      <c r="B474" s="171"/>
      <c r="C474" s="171"/>
      <c r="D474" s="1"/>
      <c r="E474" s="171"/>
      <c r="F474" s="172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4"/>
      <c r="V474" s="174"/>
      <c r="W474" s="174"/>
    </row>
    <row r="475" ht="12.75" customHeight="1">
      <c r="A475" s="171"/>
      <c r="B475" s="171"/>
      <c r="C475" s="171"/>
      <c r="D475" s="1"/>
      <c r="E475" s="171"/>
      <c r="F475" s="172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4"/>
      <c r="V475" s="174"/>
      <c r="W475" s="174"/>
    </row>
    <row r="476" ht="12.75" customHeight="1">
      <c r="A476" s="171"/>
      <c r="B476" s="171"/>
      <c r="C476" s="171"/>
      <c r="D476" s="1"/>
      <c r="E476" s="171"/>
      <c r="F476" s="172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4"/>
      <c r="V476" s="174"/>
      <c r="W476" s="174"/>
    </row>
    <row r="477" ht="12.75" customHeight="1">
      <c r="A477" s="171"/>
      <c r="B477" s="171"/>
      <c r="C477" s="171"/>
      <c r="D477" s="1"/>
      <c r="E477" s="171"/>
      <c r="F477" s="172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4"/>
      <c r="V477" s="174"/>
      <c r="W477" s="174"/>
    </row>
    <row r="478" ht="12.75" customHeight="1">
      <c r="A478" s="171"/>
      <c r="B478" s="171"/>
      <c r="C478" s="171"/>
      <c r="D478" s="1"/>
      <c r="E478" s="171"/>
      <c r="F478" s="172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4"/>
      <c r="V478" s="174"/>
      <c r="W478" s="174"/>
    </row>
    <row r="479" ht="12.75" customHeight="1">
      <c r="A479" s="171"/>
      <c r="B479" s="171"/>
      <c r="C479" s="171"/>
      <c r="D479" s="1"/>
      <c r="E479" s="171"/>
      <c r="F479" s="172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4"/>
      <c r="V479" s="174"/>
      <c r="W479" s="174"/>
    </row>
    <row r="480" ht="12.75" customHeight="1">
      <c r="A480" s="171"/>
      <c r="B480" s="171"/>
      <c r="C480" s="171"/>
      <c r="D480" s="1"/>
      <c r="E480" s="171"/>
      <c r="F480" s="172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4"/>
      <c r="V480" s="174"/>
      <c r="W480" s="174"/>
    </row>
    <row r="481" ht="12.75" customHeight="1">
      <c r="A481" s="171"/>
      <c r="B481" s="171"/>
      <c r="C481" s="171"/>
      <c r="D481" s="1"/>
      <c r="E481" s="171"/>
      <c r="F481" s="172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4"/>
      <c r="V481" s="174"/>
      <c r="W481" s="174"/>
    </row>
    <row r="482" ht="12.75" customHeight="1">
      <c r="A482" s="171"/>
      <c r="B482" s="171"/>
      <c r="C482" s="171"/>
      <c r="D482" s="1"/>
      <c r="E482" s="171"/>
      <c r="F482" s="172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4"/>
      <c r="V482" s="174"/>
      <c r="W482" s="174"/>
    </row>
    <row r="483" ht="12.75" customHeight="1">
      <c r="A483" s="171"/>
      <c r="B483" s="171"/>
      <c r="C483" s="171"/>
      <c r="D483" s="1"/>
      <c r="E483" s="171"/>
      <c r="F483" s="172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4"/>
      <c r="V483" s="174"/>
      <c r="W483" s="174"/>
    </row>
    <row r="484" ht="12.75" customHeight="1">
      <c r="A484" s="171"/>
      <c r="B484" s="171"/>
      <c r="C484" s="171"/>
      <c r="D484" s="1"/>
      <c r="E484" s="171"/>
      <c r="F484" s="172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4"/>
      <c r="V484" s="174"/>
      <c r="W484" s="174"/>
    </row>
    <row r="485" ht="12.75" customHeight="1">
      <c r="A485" s="171"/>
      <c r="B485" s="171"/>
      <c r="C485" s="171"/>
      <c r="D485" s="1"/>
      <c r="E485" s="171"/>
      <c r="F485" s="172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4"/>
      <c r="V485" s="174"/>
      <c r="W485" s="174"/>
    </row>
    <row r="486" ht="12.75" customHeight="1">
      <c r="A486" s="171"/>
      <c r="B486" s="171"/>
      <c r="C486" s="171"/>
      <c r="D486" s="1"/>
      <c r="E486" s="171"/>
      <c r="F486" s="172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4"/>
      <c r="V486" s="174"/>
      <c r="W486" s="174"/>
    </row>
    <row r="487" ht="12.75" customHeight="1">
      <c r="A487" s="171"/>
      <c r="B487" s="171"/>
      <c r="C487" s="171"/>
      <c r="D487" s="1"/>
      <c r="E487" s="171"/>
      <c r="F487" s="172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4"/>
      <c r="V487" s="174"/>
      <c r="W487" s="174"/>
    </row>
    <row r="488" ht="12.75" customHeight="1">
      <c r="A488" s="171"/>
      <c r="B488" s="171"/>
      <c r="C488" s="171"/>
      <c r="D488" s="1"/>
      <c r="E488" s="171"/>
      <c r="F488" s="172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4"/>
      <c r="V488" s="174"/>
      <c r="W488" s="174"/>
    </row>
    <row r="489" ht="12.75" customHeight="1">
      <c r="A489" s="171"/>
      <c r="B489" s="171"/>
      <c r="C489" s="171"/>
      <c r="D489" s="1"/>
      <c r="E489" s="171"/>
      <c r="F489" s="172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4"/>
      <c r="V489" s="174"/>
      <c r="W489" s="174"/>
    </row>
    <row r="490" ht="12.75" customHeight="1">
      <c r="A490" s="171"/>
      <c r="B490" s="171"/>
      <c r="C490" s="171"/>
      <c r="D490" s="1"/>
      <c r="E490" s="171"/>
      <c r="F490" s="172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4"/>
      <c r="V490" s="174"/>
      <c r="W490" s="174"/>
    </row>
    <row r="491" ht="12.75" customHeight="1">
      <c r="A491" s="171"/>
      <c r="B491" s="171"/>
      <c r="C491" s="171"/>
      <c r="D491" s="1"/>
      <c r="E491" s="171"/>
      <c r="F491" s="172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4"/>
      <c r="V491" s="174"/>
      <c r="W491" s="174"/>
    </row>
    <row r="492" ht="12.75" customHeight="1">
      <c r="A492" s="171"/>
      <c r="B492" s="171"/>
      <c r="C492" s="171"/>
      <c r="D492" s="1"/>
      <c r="E492" s="171"/>
      <c r="F492" s="172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4"/>
      <c r="V492" s="174"/>
      <c r="W492" s="174"/>
    </row>
    <row r="493" ht="12.75" customHeight="1">
      <c r="A493" s="171"/>
      <c r="B493" s="171"/>
      <c r="C493" s="171"/>
      <c r="D493" s="1"/>
      <c r="E493" s="171"/>
      <c r="F493" s="172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4"/>
      <c r="V493" s="174"/>
      <c r="W493" s="174"/>
    </row>
    <row r="494" ht="12.75" customHeight="1">
      <c r="A494" s="171"/>
      <c r="B494" s="171"/>
      <c r="C494" s="171"/>
      <c r="D494" s="1"/>
      <c r="E494" s="171"/>
      <c r="F494" s="172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4"/>
      <c r="V494" s="174"/>
      <c r="W494" s="174"/>
    </row>
    <row r="495" ht="12.75" customHeight="1">
      <c r="A495" s="171"/>
      <c r="B495" s="171"/>
      <c r="C495" s="171"/>
      <c r="D495" s="1"/>
      <c r="E495" s="171"/>
      <c r="F495" s="172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4"/>
      <c r="V495" s="174"/>
      <c r="W495" s="174"/>
    </row>
    <row r="496" ht="12.75" customHeight="1">
      <c r="A496" s="171"/>
      <c r="B496" s="171"/>
      <c r="C496" s="171"/>
      <c r="D496" s="1"/>
      <c r="E496" s="171"/>
      <c r="F496" s="172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4"/>
      <c r="V496" s="174"/>
      <c r="W496" s="174"/>
    </row>
    <row r="497" ht="12.75" customHeight="1">
      <c r="A497" s="171"/>
      <c r="B497" s="171"/>
      <c r="C497" s="171"/>
      <c r="D497" s="1"/>
      <c r="E497" s="171"/>
      <c r="F497" s="172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4"/>
      <c r="V497" s="174"/>
      <c r="W497" s="174"/>
    </row>
    <row r="498" ht="12.75" customHeight="1">
      <c r="A498" s="171"/>
      <c r="B498" s="171"/>
      <c r="C498" s="171"/>
      <c r="D498" s="1"/>
      <c r="E498" s="171"/>
      <c r="F498" s="172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4"/>
      <c r="V498" s="174"/>
      <c r="W498" s="174"/>
    </row>
    <row r="499" ht="12.75" customHeight="1">
      <c r="A499" s="171"/>
      <c r="B499" s="171"/>
      <c r="C499" s="171"/>
      <c r="D499" s="1"/>
      <c r="E499" s="171"/>
      <c r="F499" s="172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4"/>
      <c r="V499" s="174"/>
      <c r="W499" s="174"/>
    </row>
    <row r="500" ht="12.75" customHeight="1">
      <c r="A500" s="171"/>
      <c r="B500" s="171"/>
      <c r="C500" s="171"/>
      <c r="D500" s="1"/>
      <c r="E500" s="171"/>
      <c r="F500" s="172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4"/>
      <c r="V500" s="174"/>
      <c r="W500" s="174"/>
    </row>
    <row r="501" ht="12.75" customHeight="1">
      <c r="A501" s="171"/>
      <c r="B501" s="171"/>
      <c r="C501" s="171"/>
      <c r="D501" s="1"/>
      <c r="E501" s="171"/>
      <c r="F501" s="172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4"/>
      <c r="V501" s="174"/>
      <c r="W501" s="174"/>
    </row>
    <row r="502" ht="12.75" customHeight="1">
      <c r="A502" s="171"/>
      <c r="B502" s="171"/>
      <c r="C502" s="171"/>
      <c r="D502" s="1"/>
      <c r="E502" s="171"/>
      <c r="F502" s="172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4"/>
      <c r="V502" s="174"/>
      <c r="W502" s="174"/>
    </row>
    <row r="503" ht="12.75" customHeight="1">
      <c r="A503" s="171"/>
      <c r="B503" s="171"/>
      <c r="C503" s="171"/>
      <c r="D503" s="1"/>
      <c r="E503" s="171"/>
      <c r="F503" s="172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4"/>
      <c r="V503" s="174"/>
      <c r="W503" s="174"/>
    </row>
    <row r="504" ht="12.75" customHeight="1">
      <c r="A504" s="171"/>
      <c r="B504" s="171"/>
      <c r="C504" s="171"/>
      <c r="D504" s="1"/>
      <c r="E504" s="171"/>
      <c r="F504" s="172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4"/>
      <c r="V504" s="174"/>
      <c r="W504" s="174"/>
    </row>
    <row r="505" ht="12.75" customHeight="1">
      <c r="A505" s="171"/>
      <c r="B505" s="171"/>
      <c r="C505" s="171"/>
      <c r="D505" s="1"/>
      <c r="E505" s="171"/>
      <c r="F505" s="172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4"/>
      <c r="V505" s="174"/>
      <c r="W505" s="174"/>
    </row>
    <row r="506" ht="12.75" customHeight="1">
      <c r="A506" s="171"/>
      <c r="B506" s="171"/>
      <c r="C506" s="171"/>
      <c r="D506" s="1"/>
      <c r="E506" s="171"/>
      <c r="F506" s="172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4"/>
      <c r="V506" s="174"/>
      <c r="W506" s="174"/>
    </row>
    <row r="507" ht="12.75" customHeight="1">
      <c r="A507" s="171"/>
      <c r="B507" s="171"/>
      <c r="C507" s="171"/>
      <c r="D507" s="1"/>
      <c r="E507" s="171"/>
      <c r="F507" s="172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4"/>
      <c r="V507" s="174"/>
      <c r="W507" s="174"/>
    </row>
    <row r="508" ht="12.75" customHeight="1">
      <c r="A508" s="171"/>
      <c r="B508" s="171"/>
      <c r="C508" s="171"/>
      <c r="D508" s="1"/>
      <c r="E508" s="171"/>
      <c r="F508" s="172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4"/>
      <c r="V508" s="174"/>
      <c r="W508" s="174"/>
    </row>
    <row r="509" ht="12.75" customHeight="1">
      <c r="A509" s="171"/>
      <c r="B509" s="171"/>
      <c r="C509" s="171"/>
      <c r="D509" s="1"/>
      <c r="E509" s="171"/>
      <c r="F509" s="172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4"/>
      <c r="V509" s="174"/>
      <c r="W509" s="174"/>
    </row>
    <row r="510" ht="12.75" customHeight="1">
      <c r="A510" s="171"/>
      <c r="B510" s="171"/>
      <c r="C510" s="171"/>
      <c r="D510" s="1"/>
      <c r="E510" s="171"/>
      <c r="F510" s="172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4"/>
      <c r="V510" s="174"/>
      <c r="W510" s="174"/>
    </row>
    <row r="511" ht="12.75" customHeight="1">
      <c r="A511" s="171"/>
      <c r="B511" s="171"/>
      <c r="C511" s="171"/>
      <c r="D511" s="1"/>
      <c r="E511" s="171"/>
      <c r="F511" s="172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4"/>
      <c r="V511" s="174"/>
      <c r="W511" s="174"/>
    </row>
    <row r="512" ht="12.75" customHeight="1">
      <c r="A512" s="171"/>
      <c r="B512" s="171"/>
      <c r="C512" s="171"/>
      <c r="D512" s="1"/>
      <c r="E512" s="171"/>
      <c r="F512" s="172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4"/>
      <c r="V512" s="174"/>
      <c r="W512" s="174"/>
    </row>
    <row r="513" ht="12.75" customHeight="1">
      <c r="A513" s="171"/>
      <c r="B513" s="171"/>
      <c r="C513" s="171"/>
      <c r="D513" s="1"/>
      <c r="E513" s="171"/>
      <c r="F513" s="172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4"/>
      <c r="V513" s="174"/>
      <c r="W513" s="174"/>
    </row>
    <row r="514" ht="12.75" customHeight="1">
      <c r="A514" s="171"/>
      <c r="B514" s="171"/>
      <c r="C514" s="171"/>
      <c r="D514" s="1"/>
      <c r="E514" s="171"/>
      <c r="F514" s="172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4"/>
      <c r="V514" s="174"/>
      <c r="W514" s="174"/>
    </row>
    <row r="515" ht="12.75" customHeight="1">
      <c r="A515" s="171"/>
      <c r="B515" s="171"/>
      <c r="C515" s="171"/>
      <c r="D515" s="1"/>
      <c r="E515" s="171"/>
      <c r="F515" s="172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4"/>
      <c r="V515" s="174"/>
      <c r="W515" s="174"/>
    </row>
    <row r="516" ht="12.75" customHeight="1">
      <c r="A516" s="171"/>
      <c r="B516" s="171"/>
      <c r="C516" s="171"/>
      <c r="D516" s="1"/>
      <c r="E516" s="171"/>
      <c r="F516" s="172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4"/>
      <c r="V516" s="174"/>
      <c r="W516" s="174"/>
    </row>
    <row r="517" ht="12.75" customHeight="1">
      <c r="A517" s="171"/>
      <c r="B517" s="171"/>
      <c r="C517" s="171"/>
      <c r="D517" s="1"/>
      <c r="E517" s="171"/>
      <c r="F517" s="172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4"/>
      <c r="V517" s="174"/>
      <c r="W517" s="174"/>
    </row>
    <row r="518" ht="12.75" customHeight="1">
      <c r="A518" s="171"/>
      <c r="B518" s="171"/>
      <c r="C518" s="171"/>
      <c r="D518" s="1"/>
      <c r="E518" s="171"/>
      <c r="F518" s="172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4"/>
      <c r="V518" s="174"/>
      <c r="W518" s="174"/>
    </row>
    <row r="519" ht="12.75" customHeight="1">
      <c r="A519" s="171"/>
      <c r="B519" s="171"/>
      <c r="C519" s="171"/>
      <c r="D519" s="1"/>
      <c r="E519" s="171"/>
      <c r="F519" s="172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4"/>
      <c r="V519" s="174"/>
      <c r="W519" s="174"/>
    </row>
    <row r="520" ht="12.75" customHeight="1">
      <c r="A520" s="171"/>
      <c r="B520" s="171"/>
      <c r="C520" s="171"/>
      <c r="D520" s="1"/>
      <c r="E520" s="171"/>
      <c r="F520" s="172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4"/>
      <c r="V520" s="174"/>
      <c r="W520" s="174"/>
    </row>
    <row r="521" ht="12.75" customHeight="1">
      <c r="A521" s="171"/>
      <c r="B521" s="171"/>
      <c r="C521" s="171"/>
      <c r="D521" s="1"/>
      <c r="E521" s="171"/>
      <c r="F521" s="172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4"/>
      <c r="V521" s="174"/>
      <c r="W521" s="174"/>
    </row>
    <row r="522" ht="12.75" customHeight="1">
      <c r="A522" s="171"/>
      <c r="B522" s="171"/>
      <c r="C522" s="171"/>
      <c r="D522" s="1"/>
      <c r="E522" s="171"/>
      <c r="F522" s="172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4"/>
      <c r="V522" s="174"/>
      <c r="W522" s="174"/>
    </row>
    <row r="523" ht="12.75" customHeight="1">
      <c r="A523" s="171"/>
      <c r="B523" s="171"/>
      <c r="C523" s="171"/>
      <c r="D523" s="1"/>
      <c r="E523" s="171"/>
      <c r="F523" s="172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4"/>
      <c r="V523" s="174"/>
      <c r="W523" s="174"/>
    </row>
    <row r="524" ht="12.75" customHeight="1">
      <c r="A524" s="171"/>
      <c r="B524" s="171"/>
      <c r="C524" s="171"/>
      <c r="D524" s="1"/>
      <c r="E524" s="171"/>
      <c r="F524" s="172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4"/>
      <c r="V524" s="174"/>
      <c r="W524" s="174"/>
    </row>
    <row r="525" ht="12.75" customHeight="1">
      <c r="A525" s="171"/>
      <c r="B525" s="171"/>
      <c r="C525" s="171"/>
      <c r="D525" s="1"/>
      <c r="E525" s="171"/>
      <c r="F525" s="172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4"/>
      <c r="V525" s="174"/>
      <c r="W525" s="174"/>
    </row>
    <row r="526" ht="12.75" customHeight="1">
      <c r="A526" s="171"/>
      <c r="B526" s="171"/>
      <c r="C526" s="171"/>
      <c r="D526" s="1"/>
      <c r="E526" s="171"/>
      <c r="F526" s="172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4"/>
      <c r="V526" s="174"/>
      <c r="W526" s="174"/>
    </row>
    <row r="527" ht="12.75" customHeight="1">
      <c r="A527" s="171"/>
      <c r="B527" s="171"/>
      <c r="C527" s="171"/>
      <c r="D527" s="1"/>
      <c r="E527" s="171"/>
      <c r="F527" s="172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4"/>
      <c r="V527" s="174"/>
      <c r="W527" s="174"/>
    </row>
    <row r="528" ht="12.75" customHeight="1">
      <c r="A528" s="171"/>
      <c r="B528" s="171"/>
      <c r="C528" s="171"/>
      <c r="D528" s="1"/>
      <c r="E528" s="171"/>
      <c r="F528" s="172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4"/>
      <c r="V528" s="174"/>
      <c r="W528" s="174"/>
    </row>
    <row r="529" ht="12.75" customHeight="1">
      <c r="A529" s="171"/>
      <c r="B529" s="171"/>
      <c r="C529" s="171"/>
      <c r="D529" s="1"/>
      <c r="E529" s="171"/>
      <c r="F529" s="172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4"/>
      <c r="V529" s="174"/>
      <c r="W529" s="174"/>
    </row>
    <row r="530" ht="12.75" customHeight="1">
      <c r="A530" s="171"/>
      <c r="B530" s="171"/>
      <c r="C530" s="171"/>
      <c r="D530" s="1"/>
      <c r="E530" s="171"/>
      <c r="F530" s="172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4"/>
      <c r="V530" s="174"/>
      <c r="W530" s="174"/>
    </row>
    <row r="531" ht="12.75" customHeight="1">
      <c r="A531" s="171"/>
      <c r="B531" s="171"/>
      <c r="C531" s="171"/>
      <c r="D531" s="1"/>
      <c r="E531" s="171"/>
      <c r="F531" s="172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4"/>
      <c r="V531" s="174"/>
      <c r="W531" s="174"/>
    </row>
    <row r="532" ht="12.75" customHeight="1">
      <c r="A532" s="171"/>
      <c r="B532" s="171"/>
      <c r="C532" s="171"/>
      <c r="D532" s="1"/>
      <c r="E532" s="171"/>
      <c r="F532" s="172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4"/>
      <c r="V532" s="174"/>
      <c r="W532" s="174"/>
    </row>
    <row r="533" ht="12.75" customHeight="1">
      <c r="A533" s="171"/>
      <c r="B533" s="171"/>
      <c r="C533" s="171"/>
      <c r="D533" s="1"/>
      <c r="E533" s="171"/>
      <c r="F533" s="172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4"/>
      <c r="V533" s="174"/>
      <c r="W533" s="174"/>
    </row>
    <row r="534" ht="12.75" customHeight="1">
      <c r="A534" s="171"/>
      <c r="B534" s="171"/>
      <c r="C534" s="171"/>
      <c r="D534" s="1"/>
      <c r="E534" s="171"/>
      <c r="F534" s="172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4"/>
      <c r="V534" s="174"/>
      <c r="W534" s="174"/>
    </row>
    <row r="535" ht="12.75" customHeight="1">
      <c r="A535" s="171"/>
      <c r="B535" s="171"/>
      <c r="C535" s="171"/>
      <c r="D535" s="1"/>
      <c r="E535" s="171"/>
      <c r="F535" s="172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4"/>
      <c r="V535" s="174"/>
      <c r="W535" s="174"/>
    </row>
    <row r="536" ht="12.75" customHeight="1">
      <c r="A536" s="171"/>
      <c r="B536" s="171"/>
      <c r="C536" s="171"/>
      <c r="D536" s="1"/>
      <c r="E536" s="171"/>
      <c r="F536" s="172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4"/>
      <c r="V536" s="174"/>
      <c r="W536" s="174"/>
    </row>
    <row r="537" ht="12.75" customHeight="1">
      <c r="A537" s="171"/>
      <c r="B537" s="171"/>
      <c r="C537" s="171"/>
      <c r="D537" s="1"/>
      <c r="E537" s="171"/>
      <c r="F537" s="172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4"/>
      <c r="V537" s="174"/>
      <c r="W537" s="174"/>
    </row>
    <row r="538" ht="12.75" customHeight="1">
      <c r="A538" s="171"/>
      <c r="B538" s="171"/>
      <c r="C538" s="171"/>
      <c r="D538" s="1"/>
      <c r="E538" s="171"/>
      <c r="F538" s="172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4"/>
      <c r="V538" s="174"/>
      <c r="W538" s="174"/>
    </row>
    <row r="539" ht="12.75" customHeight="1">
      <c r="A539" s="171"/>
      <c r="B539" s="171"/>
      <c r="C539" s="171"/>
      <c r="D539" s="1"/>
      <c r="E539" s="171"/>
      <c r="F539" s="172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4"/>
      <c r="V539" s="174"/>
      <c r="W539" s="174"/>
    </row>
    <row r="540" ht="12.75" customHeight="1">
      <c r="A540" s="171"/>
      <c r="B540" s="171"/>
      <c r="C540" s="171"/>
      <c r="D540" s="1"/>
      <c r="E540" s="171"/>
      <c r="F540" s="172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4"/>
      <c r="V540" s="174"/>
      <c r="W540" s="174"/>
    </row>
    <row r="541" ht="12.75" customHeight="1">
      <c r="A541" s="171"/>
      <c r="B541" s="171"/>
      <c r="C541" s="171"/>
      <c r="D541" s="1"/>
      <c r="E541" s="171"/>
      <c r="F541" s="172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4"/>
      <c r="V541" s="174"/>
      <c r="W541" s="174"/>
    </row>
    <row r="542" ht="12.75" customHeight="1">
      <c r="A542" s="171"/>
      <c r="B542" s="171"/>
      <c r="C542" s="171"/>
      <c r="D542" s="1"/>
      <c r="E542" s="171"/>
      <c r="F542" s="172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4"/>
      <c r="V542" s="174"/>
      <c r="W542" s="174"/>
    </row>
    <row r="543" ht="12.75" customHeight="1">
      <c r="A543" s="171"/>
      <c r="B543" s="171"/>
      <c r="C543" s="171"/>
      <c r="D543" s="1"/>
      <c r="E543" s="171"/>
      <c r="F543" s="172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4"/>
      <c r="V543" s="174"/>
      <c r="W543" s="174"/>
    </row>
    <row r="544" ht="12.75" customHeight="1">
      <c r="A544" s="171"/>
      <c r="B544" s="171"/>
      <c r="C544" s="171"/>
      <c r="D544" s="1"/>
      <c r="E544" s="171"/>
      <c r="F544" s="172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4"/>
      <c r="V544" s="174"/>
      <c r="W544" s="174"/>
    </row>
    <row r="545" ht="12.75" customHeight="1">
      <c r="A545" s="171"/>
      <c r="B545" s="171"/>
      <c r="C545" s="171"/>
      <c r="D545" s="1"/>
      <c r="E545" s="171"/>
      <c r="F545" s="172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4"/>
      <c r="V545" s="174"/>
      <c r="W545" s="174"/>
    </row>
    <row r="546" ht="12.75" customHeight="1">
      <c r="A546" s="171"/>
      <c r="B546" s="171"/>
      <c r="C546" s="171"/>
      <c r="D546" s="1"/>
      <c r="E546" s="171"/>
      <c r="F546" s="172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4"/>
      <c r="V546" s="174"/>
      <c r="W546" s="174"/>
    </row>
    <row r="547" ht="12.75" customHeight="1">
      <c r="A547" s="171"/>
      <c r="B547" s="171"/>
      <c r="C547" s="171"/>
      <c r="D547" s="1"/>
      <c r="E547" s="171"/>
      <c r="F547" s="172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4"/>
      <c r="V547" s="174"/>
      <c r="W547" s="174"/>
    </row>
    <row r="548" ht="12.75" customHeight="1">
      <c r="A548" s="171"/>
      <c r="B548" s="171"/>
      <c r="C548" s="171"/>
      <c r="D548" s="1"/>
      <c r="E548" s="171"/>
      <c r="F548" s="172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4"/>
      <c r="V548" s="174"/>
      <c r="W548" s="174"/>
    </row>
    <row r="549" ht="12.75" customHeight="1">
      <c r="A549" s="171"/>
      <c r="B549" s="171"/>
      <c r="C549" s="171"/>
      <c r="D549" s="1"/>
      <c r="E549" s="171"/>
      <c r="F549" s="172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4"/>
      <c r="V549" s="174"/>
      <c r="W549" s="174"/>
    </row>
    <row r="550" ht="12.75" customHeight="1">
      <c r="A550" s="171"/>
      <c r="B550" s="171"/>
      <c r="C550" s="171"/>
      <c r="D550" s="1"/>
      <c r="E550" s="171"/>
      <c r="F550" s="172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4"/>
      <c r="V550" s="174"/>
      <c r="W550" s="174"/>
    </row>
    <row r="551" ht="12.75" customHeight="1">
      <c r="A551" s="171"/>
      <c r="B551" s="171"/>
      <c r="C551" s="171"/>
      <c r="D551" s="1"/>
      <c r="E551" s="171"/>
      <c r="F551" s="172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4"/>
      <c r="V551" s="174"/>
      <c r="W551" s="174"/>
    </row>
    <row r="552" ht="12.75" customHeight="1">
      <c r="A552" s="171"/>
      <c r="B552" s="171"/>
      <c r="C552" s="171"/>
      <c r="D552" s="1"/>
      <c r="E552" s="171"/>
      <c r="F552" s="172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4"/>
      <c r="V552" s="174"/>
      <c r="W552" s="174"/>
    </row>
    <row r="553" ht="12.75" customHeight="1">
      <c r="A553" s="171"/>
      <c r="B553" s="171"/>
      <c r="C553" s="171"/>
      <c r="D553" s="1"/>
      <c r="E553" s="171"/>
      <c r="F553" s="172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4"/>
      <c r="V553" s="174"/>
      <c r="W553" s="174"/>
    </row>
    <row r="554" ht="12.75" customHeight="1">
      <c r="A554" s="171"/>
      <c r="B554" s="171"/>
      <c r="C554" s="171"/>
      <c r="D554" s="1"/>
      <c r="E554" s="171"/>
      <c r="F554" s="172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4"/>
      <c r="V554" s="174"/>
      <c r="W554" s="174"/>
    </row>
    <row r="555" ht="12.75" customHeight="1">
      <c r="A555" s="171"/>
      <c r="B555" s="171"/>
      <c r="C555" s="171"/>
      <c r="D555" s="1"/>
      <c r="E555" s="171"/>
      <c r="F555" s="172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4"/>
      <c r="V555" s="174"/>
      <c r="W555" s="174"/>
    </row>
    <row r="556" ht="12.75" customHeight="1">
      <c r="A556" s="171"/>
      <c r="B556" s="171"/>
      <c r="C556" s="171"/>
      <c r="D556" s="1"/>
      <c r="E556" s="171"/>
      <c r="F556" s="172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4"/>
      <c r="V556" s="174"/>
      <c r="W556" s="174"/>
    </row>
    <row r="557" ht="12.75" customHeight="1">
      <c r="A557" s="171"/>
      <c r="B557" s="171"/>
      <c r="C557" s="171"/>
      <c r="D557" s="1"/>
      <c r="E557" s="171"/>
      <c r="F557" s="172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4"/>
      <c r="V557" s="174"/>
      <c r="W557" s="174"/>
    </row>
    <row r="558" ht="12.75" customHeight="1">
      <c r="A558" s="171"/>
      <c r="B558" s="171"/>
      <c r="C558" s="171"/>
      <c r="D558" s="1"/>
      <c r="E558" s="171"/>
      <c r="F558" s="172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4"/>
      <c r="V558" s="174"/>
      <c r="W558" s="174"/>
    </row>
    <row r="559" ht="12.75" customHeight="1">
      <c r="A559" s="171"/>
      <c r="B559" s="171"/>
      <c r="C559" s="171"/>
      <c r="D559" s="1"/>
      <c r="E559" s="171"/>
      <c r="F559" s="172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4"/>
      <c r="V559" s="174"/>
      <c r="W559" s="174"/>
    </row>
    <row r="560" ht="12.75" customHeight="1">
      <c r="A560" s="171"/>
      <c r="B560" s="171"/>
      <c r="C560" s="171"/>
      <c r="D560" s="1"/>
      <c r="E560" s="171"/>
      <c r="F560" s="172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4"/>
      <c r="V560" s="174"/>
      <c r="W560" s="174"/>
    </row>
    <row r="561" ht="12.75" customHeight="1">
      <c r="A561" s="171"/>
      <c r="B561" s="171"/>
      <c r="C561" s="171"/>
      <c r="D561" s="1"/>
      <c r="E561" s="171"/>
      <c r="F561" s="172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4"/>
      <c r="V561" s="174"/>
      <c r="W561" s="174"/>
    </row>
    <row r="562" ht="12.75" customHeight="1">
      <c r="A562" s="171"/>
      <c r="B562" s="171"/>
      <c r="C562" s="171"/>
      <c r="D562" s="1"/>
      <c r="E562" s="171"/>
      <c r="F562" s="172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4"/>
      <c r="V562" s="174"/>
      <c r="W562" s="174"/>
    </row>
    <row r="563" ht="12.75" customHeight="1">
      <c r="A563" s="171"/>
      <c r="B563" s="171"/>
      <c r="C563" s="171"/>
      <c r="D563" s="1"/>
      <c r="E563" s="171"/>
      <c r="F563" s="172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4"/>
      <c r="V563" s="174"/>
      <c r="W563" s="174"/>
    </row>
    <row r="564" ht="12.75" customHeight="1">
      <c r="A564" s="171"/>
      <c r="B564" s="171"/>
      <c r="C564" s="171"/>
      <c r="D564" s="1"/>
      <c r="E564" s="171"/>
      <c r="F564" s="172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4"/>
      <c r="V564" s="174"/>
      <c r="W564" s="174"/>
    </row>
    <row r="565" ht="12.75" customHeight="1">
      <c r="A565" s="171"/>
      <c r="B565" s="171"/>
      <c r="C565" s="171"/>
      <c r="D565" s="1"/>
      <c r="E565" s="171"/>
      <c r="F565" s="172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4"/>
      <c r="V565" s="174"/>
      <c r="W565" s="174"/>
    </row>
    <row r="566" ht="12.75" customHeight="1">
      <c r="A566" s="171"/>
      <c r="B566" s="171"/>
      <c r="C566" s="171"/>
      <c r="D566" s="1"/>
      <c r="E566" s="171"/>
      <c r="F566" s="172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4"/>
      <c r="V566" s="174"/>
      <c r="W566" s="174"/>
    </row>
    <row r="567" ht="12.75" customHeight="1">
      <c r="A567" s="171"/>
      <c r="B567" s="171"/>
      <c r="C567" s="171"/>
      <c r="D567" s="1"/>
      <c r="E567" s="171"/>
      <c r="F567" s="172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4"/>
      <c r="V567" s="174"/>
      <c r="W567" s="174"/>
    </row>
    <row r="568" ht="12.75" customHeight="1">
      <c r="A568" s="171"/>
      <c r="B568" s="171"/>
      <c r="C568" s="171"/>
      <c r="D568" s="1"/>
      <c r="E568" s="171"/>
      <c r="F568" s="172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4"/>
      <c r="V568" s="174"/>
      <c r="W568" s="174"/>
    </row>
    <row r="569" ht="12.75" customHeight="1">
      <c r="A569" s="171"/>
      <c r="B569" s="171"/>
      <c r="C569" s="171"/>
      <c r="D569" s="1"/>
      <c r="E569" s="171"/>
      <c r="F569" s="172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4"/>
      <c r="V569" s="174"/>
      <c r="W569" s="174"/>
    </row>
    <row r="570" ht="12.75" customHeight="1">
      <c r="A570" s="171"/>
      <c r="B570" s="171"/>
      <c r="C570" s="171"/>
      <c r="D570" s="1"/>
      <c r="E570" s="171"/>
      <c r="F570" s="172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4"/>
      <c r="V570" s="174"/>
      <c r="W570" s="174"/>
    </row>
    <row r="571" ht="12.75" customHeight="1">
      <c r="A571" s="171"/>
      <c r="B571" s="171"/>
      <c r="C571" s="171"/>
      <c r="D571" s="1"/>
      <c r="E571" s="171"/>
      <c r="F571" s="172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4"/>
      <c r="V571" s="174"/>
      <c r="W571" s="174"/>
    </row>
    <row r="572" ht="12.75" customHeight="1">
      <c r="A572" s="171"/>
      <c r="B572" s="171"/>
      <c r="C572" s="171"/>
      <c r="D572" s="1"/>
      <c r="E572" s="171"/>
      <c r="F572" s="172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4"/>
      <c r="V572" s="174"/>
      <c r="W572" s="174"/>
    </row>
    <row r="573" ht="12.75" customHeight="1">
      <c r="A573" s="171"/>
      <c r="B573" s="171"/>
      <c r="C573" s="171"/>
      <c r="D573" s="1"/>
      <c r="E573" s="171"/>
      <c r="F573" s="172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4"/>
      <c r="V573" s="174"/>
      <c r="W573" s="174"/>
    </row>
    <row r="574" ht="12.75" customHeight="1">
      <c r="A574" s="171"/>
      <c r="B574" s="171"/>
      <c r="C574" s="171"/>
      <c r="D574" s="1"/>
      <c r="E574" s="171"/>
      <c r="F574" s="172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4"/>
      <c r="V574" s="174"/>
      <c r="W574" s="174"/>
    </row>
    <row r="575" ht="12.75" customHeight="1">
      <c r="A575" s="171"/>
      <c r="B575" s="171"/>
      <c r="C575" s="171"/>
      <c r="D575" s="1"/>
      <c r="E575" s="171"/>
      <c r="F575" s="172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4"/>
      <c r="V575" s="174"/>
      <c r="W575" s="174"/>
    </row>
    <row r="576" ht="12.75" customHeight="1">
      <c r="A576" s="171"/>
      <c r="B576" s="171"/>
      <c r="C576" s="171"/>
      <c r="D576" s="1"/>
      <c r="E576" s="171"/>
      <c r="F576" s="172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4"/>
      <c r="V576" s="174"/>
      <c r="W576" s="174"/>
    </row>
    <row r="577" ht="12.75" customHeight="1">
      <c r="A577" s="171"/>
      <c r="B577" s="171"/>
      <c r="C577" s="171"/>
      <c r="D577" s="1"/>
      <c r="E577" s="171"/>
      <c r="F577" s="172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4"/>
      <c r="V577" s="174"/>
      <c r="W577" s="174"/>
    </row>
    <row r="578" ht="12.75" customHeight="1">
      <c r="A578" s="171"/>
      <c r="B578" s="171"/>
      <c r="C578" s="171"/>
      <c r="D578" s="1"/>
      <c r="E578" s="171"/>
      <c r="F578" s="172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4"/>
      <c r="V578" s="174"/>
      <c r="W578" s="174"/>
    </row>
    <row r="579" ht="12.75" customHeight="1">
      <c r="A579" s="171"/>
      <c r="B579" s="171"/>
      <c r="C579" s="171"/>
      <c r="D579" s="1"/>
      <c r="E579" s="171"/>
      <c r="F579" s="172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4"/>
      <c r="V579" s="174"/>
      <c r="W579" s="174"/>
    </row>
    <row r="580" ht="12.75" customHeight="1">
      <c r="A580" s="171"/>
      <c r="B580" s="171"/>
      <c r="C580" s="171"/>
      <c r="D580" s="1"/>
      <c r="E580" s="171"/>
      <c r="F580" s="172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4"/>
      <c r="V580" s="174"/>
      <c r="W580" s="174"/>
    </row>
    <row r="581" ht="12.75" customHeight="1">
      <c r="A581" s="171"/>
      <c r="B581" s="171"/>
      <c r="C581" s="171"/>
      <c r="D581" s="1"/>
      <c r="E581" s="171"/>
      <c r="F581" s="172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4"/>
      <c r="V581" s="174"/>
      <c r="W581" s="174"/>
    </row>
    <row r="582" ht="12.75" customHeight="1">
      <c r="A582" s="171"/>
      <c r="B582" s="171"/>
      <c r="C582" s="171"/>
      <c r="D582" s="1"/>
      <c r="E582" s="171"/>
      <c r="F582" s="172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4"/>
      <c r="V582" s="174"/>
      <c r="W582" s="174"/>
    </row>
    <row r="583" ht="12.75" customHeight="1">
      <c r="A583" s="171"/>
      <c r="B583" s="171"/>
      <c r="C583" s="171"/>
      <c r="D583" s="1"/>
      <c r="E583" s="171"/>
      <c r="F583" s="172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4"/>
      <c r="V583" s="174"/>
      <c r="W583" s="174"/>
    </row>
    <row r="584" ht="12.75" customHeight="1">
      <c r="A584" s="171"/>
      <c r="B584" s="171"/>
      <c r="C584" s="171"/>
      <c r="D584" s="1"/>
      <c r="E584" s="171"/>
      <c r="F584" s="172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4"/>
      <c r="V584" s="174"/>
      <c r="W584" s="174"/>
    </row>
    <row r="585" ht="12.75" customHeight="1">
      <c r="A585" s="171"/>
      <c r="B585" s="171"/>
      <c r="C585" s="171"/>
      <c r="D585" s="1"/>
      <c r="E585" s="171"/>
      <c r="F585" s="172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4"/>
      <c r="V585" s="174"/>
      <c r="W585" s="174"/>
    </row>
    <row r="586" ht="12.75" customHeight="1">
      <c r="A586" s="171"/>
      <c r="B586" s="171"/>
      <c r="C586" s="171"/>
      <c r="D586" s="1"/>
      <c r="E586" s="171"/>
      <c r="F586" s="172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4"/>
      <c r="V586" s="174"/>
      <c r="W586" s="174"/>
    </row>
    <row r="587" ht="12.75" customHeight="1">
      <c r="A587" s="171"/>
      <c r="B587" s="171"/>
      <c r="C587" s="171"/>
      <c r="D587" s="1"/>
      <c r="E587" s="171"/>
      <c r="F587" s="172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4"/>
      <c r="V587" s="174"/>
      <c r="W587" s="174"/>
    </row>
    <row r="588" ht="12.75" customHeight="1">
      <c r="A588" s="171"/>
      <c r="B588" s="171"/>
      <c r="C588" s="171"/>
      <c r="D588" s="1"/>
      <c r="E588" s="171"/>
      <c r="F588" s="172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4"/>
      <c r="V588" s="174"/>
      <c r="W588" s="174"/>
    </row>
    <row r="589" ht="12.75" customHeight="1">
      <c r="A589" s="171"/>
      <c r="B589" s="171"/>
      <c r="C589" s="171"/>
      <c r="D589" s="1"/>
      <c r="E589" s="171"/>
      <c r="F589" s="172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4"/>
      <c r="V589" s="174"/>
      <c r="W589" s="174"/>
    </row>
    <row r="590" ht="12.75" customHeight="1">
      <c r="A590" s="171"/>
      <c r="B590" s="171"/>
      <c r="C590" s="171"/>
      <c r="D590" s="1"/>
      <c r="E590" s="171"/>
      <c r="F590" s="172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4"/>
      <c r="V590" s="174"/>
      <c r="W590" s="174"/>
    </row>
    <row r="591" ht="12.75" customHeight="1">
      <c r="A591" s="171"/>
      <c r="B591" s="171"/>
      <c r="C591" s="171"/>
      <c r="D591" s="1"/>
      <c r="E591" s="171"/>
      <c r="F591" s="172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4"/>
      <c r="V591" s="174"/>
      <c r="W591" s="174"/>
    </row>
    <row r="592" ht="12.75" customHeight="1">
      <c r="A592" s="171"/>
      <c r="B592" s="171"/>
      <c r="C592" s="171"/>
      <c r="D592" s="1"/>
      <c r="E592" s="171"/>
      <c r="F592" s="172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4"/>
      <c r="V592" s="174"/>
      <c r="W592" s="174"/>
    </row>
    <row r="593" ht="12.75" customHeight="1">
      <c r="A593" s="171"/>
      <c r="B593" s="171"/>
      <c r="C593" s="171"/>
      <c r="D593" s="1"/>
      <c r="E593" s="171"/>
      <c r="F593" s="172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4"/>
      <c r="V593" s="174"/>
      <c r="W593" s="174"/>
    </row>
    <row r="594" ht="12.75" customHeight="1">
      <c r="A594" s="171"/>
      <c r="B594" s="171"/>
      <c r="C594" s="171"/>
      <c r="D594" s="1"/>
      <c r="E594" s="171"/>
      <c r="F594" s="172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4"/>
      <c r="V594" s="174"/>
      <c r="W594" s="174"/>
    </row>
    <row r="595" ht="12.75" customHeight="1">
      <c r="A595" s="171"/>
      <c r="B595" s="171"/>
      <c r="C595" s="171"/>
      <c r="D595" s="1"/>
      <c r="E595" s="171"/>
      <c r="F595" s="172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4"/>
      <c r="V595" s="174"/>
      <c r="W595" s="174"/>
    </row>
    <row r="596" ht="12.75" customHeight="1">
      <c r="A596" s="171"/>
      <c r="B596" s="171"/>
      <c r="C596" s="171"/>
      <c r="D596" s="1"/>
      <c r="E596" s="171"/>
      <c r="F596" s="172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4"/>
      <c r="V596" s="174"/>
      <c r="W596" s="174"/>
    </row>
    <row r="597" ht="12.75" customHeight="1">
      <c r="A597" s="171"/>
      <c r="B597" s="171"/>
      <c r="C597" s="171"/>
      <c r="D597" s="1"/>
      <c r="E597" s="171"/>
      <c r="F597" s="172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4"/>
      <c r="V597" s="174"/>
      <c r="W597" s="174"/>
    </row>
    <row r="598" ht="12.75" customHeight="1">
      <c r="A598" s="171"/>
      <c r="B598" s="171"/>
      <c r="C598" s="171"/>
      <c r="D598" s="1"/>
      <c r="E598" s="171"/>
      <c r="F598" s="172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4"/>
      <c r="V598" s="174"/>
      <c r="W598" s="174"/>
    </row>
    <row r="599" ht="12.75" customHeight="1">
      <c r="A599" s="171"/>
      <c r="B599" s="171"/>
      <c r="C599" s="171"/>
      <c r="D599" s="1"/>
      <c r="E599" s="171"/>
      <c r="F599" s="172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4"/>
      <c r="V599" s="174"/>
      <c r="W599" s="174"/>
    </row>
    <row r="600" ht="12.75" customHeight="1">
      <c r="A600" s="171"/>
      <c r="B600" s="171"/>
      <c r="C600" s="171"/>
      <c r="D600" s="1"/>
      <c r="E600" s="171"/>
      <c r="F600" s="172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4"/>
      <c r="V600" s="174"/>
      <c r="W600" s="174"/>
    </row>
    <row r="601" ht="12.75" customHeight="1">
      <c r="A601" s="171"/>
      <c r="B601" s="171"/>
      <c r="C601" s="171"/>
      <c r="D601" s="1"/>
      <c r="E601" s="171"/>
      <c r="F601" s="172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4"/>
      <c r="V601" s="174"/>
      <c r="W601" s="174"/>
    </row>
    <row r="602" ht="12.75" customHeight="1">
      <c r="A602" s="171"/>
      <c r="B602" s="171"/>
      <c r="C602" s="171"/>
      <c r="D602" s="1"/>
      <c r="E602" s="171"/>
      <c r="F602" s="172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4"/>
      <c r="V602" s="174"/>
      <c r="W602" s="174"/>
    </row>
    <row r="603" ht="12.75" customHeight="1">
      <c r="A603" s="171"/>
      <c r="B603" s="171"/>
      <c r="C603" s="171"/>
      <c r="D603" s="1"/>
      <c r="E603" s="171"/>
      <c r="F603" s="172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4"/>
      <c r="V603" s="174"/>
      <c r="W603" s="174"/>
    </row>
    <row r="604" ht="12.75" customHeight="1">
      <c r="A604" s="171"/>
      <c r="B604" s="171"/>
      <c r="C604" s="171"/>
      <c r="D604" s="1"/>
      <c r="E604" s="171"/>
      <c r="F604" s="172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4"/>
      <c r="V604" s="174"/>
      <c r="W604" s="174"/>
    </row>
    <row r="605" ht="12.75" customHeight="1">
      <c r="A605" s="171"/>
      <c r="B605" s="171"/>
      <c r="C605" s="171"/>
      <c r="D605" s="1"/>
      <c r="E605" s="171"/>
      <c r="F605" s="172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4"/>
      <c r="V605" s="174"/>
      <c r="W605" s="174"/>
    </row>
    <row r="606" ht="12.75" customHeight="1">
      <c r="A606" s="171"/>
      <c r="B606" s="171"/>
      <c r="C606" s="171"/>
      <c r="D606" s="1"/>
      <c r="E606" s="171"/>
      <c r="F606" s="172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4"/>
      <c r="V606" s="174"/>
      <c r="W606" s="174"/>
    </row>
    <row r="607" ht="12.75" customHeight="1">
      <c r="A607" s="171"/>
      <c r="B607" s="171"/>
      <c r="C607" s="171"/>
      <c r="D607" s="1"/>
      <c r="E607" s="171"/>
      <c r="F607" s="172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4"/>
      <c r="V607" s="174"/>
      <c r="W607" s="174"/>
    </row>
    <row r="608" ht="12.75" customHeight="1">
      <c r="A608" s="171"/>
      <c r="B608" s="171"/>
      <c r="C608" s="171"/>
      <c r="D608" s="1"/>
      <c r="E608" s="171"/>
      <c r="F608" s="172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4"/>
      <c r="V608" s="174"/>
      <c r="W608" s="174"/>
    </row>
    <row r="609" ht="12.75" customHeight="1">
      <c r="A609" s="171"/>
      <c r="B609" s="171"/>
      <c r="C609" s="171"/>
      <c r="D609" s="1"/>
      <c r="E609" s="171"/>
      <c r="F609" s="172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4"/>
      <c r="V609" s="174"/>
      <c r="W609" s="174"/>
    </row>
    <row r="610" ht="12.75" customHeight="1">
      <c r="A610" s="171"/>
      <c r="B610" s="171"/>
      <c r="C610" s="171"/>
      <c r="D610" s="1"/>
      <c r="E610" s="171"/>
      <c r="F610" s="172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4"/>
      <c r="V610" s="174"/>
      <c r="W610" s="174"/>
    </row>
    <row r="611" ht="12.75" customHeight="1">
      <c r="A611" s="171"/>
      <c r="B611" s="171"/>
      <c r="C611" s="171"/>
      <c r="D611" s="1"/>
      <c r="E611" s="171"/>
      <c r="F611" s="172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4"/>
      <c r="V611" s="174"/>
      <c r="W611" s="174"/>
    </row>
    <row r="612" ht="12.75" customHeight="1">
      <c r="A612" s="171"/>
      <c r="B612" s="171"/>
      <c r="C612" s="171"/>
      <c r="D612" s="1"/>
      <c r="E612" s="171"/>
      <c r="F612" s="172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4"/>
      <c r="V612" s="174"/>
      <c r="W612" s="174"/>
    </row>
    <row r="613" ht="12.75" customHeight="1">
      <c r="A613" s="171"/>
      <c r="B613" s="171"/>
      <c r="C613" s="171"/>
      <c r="D613" s="1"/>
      <c r="E613" s="171"/>
      <c r="F613" s="172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4"/>
      <c r="V613" s="174"/>
      <c r="W613" s="174"/>
    </row>
    <row r="614" ht="12.75" customHeight="1">
      <c r="A614" s="171"/>
      <c r="B614" s="171"/>
      <c r="C614" s="171"/>
      <c r="D614" s="1"/>
      <c r="E614" s="171"/>
      <c r="F614" s="172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4"/>
      <c r="V614" s="174"/>
      <c r="W614" s="174"/>
    </row>
    <row r="615" ht="12.75" customHeight="1">
      <c r="A615" s="171"/>
      <c r="B615" s="171"/>
      <c r="C615" s="171"/>
      <c r="D615" s="1"/>
      <c r="E615" s="171"/>
      <c r="F615" s="172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4"/>
      <c r="V615" s="174"/>
      <c r="W615" s="174"/>
    </row>
    <row r="616" ht="12.75" customHeight="1">
      <c r="A616" s="171"/>
      <c r="B616" s="171"/>
      <c r="C616" s="171"/>
      <c r="D616" s="1"/>
      <c r="E616" s="171"/>
      <c r="F616" s="172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4"/>
      <c r="V616" s="174"/>
      <c r="W616" s="174"/>
    </row>
    <row r="617" ht="12.75" customHeight="1">
      <c r="A617" s="171"/>
      <c r="B617" s="171"/>
      <c r="C617" s="171"/>
      <c r="D617" s="1"/>
      <c r="E617" s="171"/>
      <c r="F617" s="172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4"/>
      <c r="V617" s="174"/>
      <c r="W617" s="174"/>
    </row>
    <row r="618" ht="12.75" customHeight="1">
      <c r="A618" s="175"/>
      <c r="B618" s="175"/>
      <c r="C618" s="175"/>
      <c r="D618" s="176"/>
      <c r="E618" s="175"/>
      <c r="F618" s="177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43"/>
      <c r="V618" s="143"/>
      <c r="W618" s="143"/>
    </row>
    <row r="619" ht="12.75" customHeight="1">
      <c r="A619" s="175"/>
      <c r="B619" s="175"/>
      <c r="C619" s="175"/>
      <c r="D619" s="176"/>
      <c r="E619" s="175"/>
      <c r="F619" s="177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43"/>
      <c r="V619" s="143"/>
      <c r="W619" s="143"/>
    </row>
    <row r="620" ht="12.75" customHeight="1">
      <c r="A620" s="175"/>
      <c r="B620" s="175"/>
      <c r="C620" s="175"/>
      <c r="D620" s="176"/>
      <c r="E620" s="175"/>
      <c r="F620" s="177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43"/>
      <c r="V620" s="143"/>
      <c r="W620" s="143"/>
    </row>
    <row r="621" ht="12.75" customHeight="1">
      <c r="A621" s="175"/>
      <c r="B621" s="175"/>
      <c r="C621" s="175"/>
      <c r="D621" s="176"/>
      <c r="E621" s="175"/>
      <c r="F621" s="177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43"/>
      <c r="V621" s="143"/>
      <c r="W621" s="143"/>
    </row>
    <row r="622" ht="12.75" customHeight="1">
      <c r="A622" s="175"/>
      <c r="B622" s="175"/>
      <c r="C622" s="175"/>
      <c r="D622" s="176"/>
      <c r="E622" s="175"/>
      <c r="F622" s="177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43"/>
      <c r="V622" s="143"/>
      <c r="W622" s="143"/>
    </row>
    <row r="623" ht="12.75" customHeight="1">
      <c r="A623" s="175"/>
      <c r="B623" s="175"/>
      <c r="C623" s="175"/>
      <c r="D623" s="176"/>
      <c r="E623" s="175"/>
      <c r="F623" s="177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43"/>
      <c r="V623" s="143"/>
      <c r="W623" s="143"/>
    </row>
    <row r="624" ht="12.75" customHeight="1">
      <c r="A624" s="175"/>
      <c r="B624" s="175"/>
      <c r="C624" s="175"/>
      <c r="D624" s="176"/>
      <c r="E624" s="175"/>
      <c r="F624" s="177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43"/>
      <c r="V624" s="143"/>
      <c r="W624" s="143"/>
    </row>
    <row r="625" ht="12.75" customHeight="1">
      <c r="A625" s="175"/>
      <c r="B625" s="175"/>
      <c r="C625" s="175"/>
      <c r="D625" s="176"/>
      <c r="E625" s="175"/>
      <c r="F625" s="177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43"/>
      <c r="V625" s="143"/>
      <c r="W625" s="143"/>
    </row>
    <row r="626" ht="12.75" customHeight="1">
      <c r="A626" s="175"/>
      <c r="B626" s="175"/>
      <c r="C626" s="175"/>
      <c r="D626" s="176"/>
      <c r="E626" s="175"/>
      <c r="F626" s="177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43"/>
      <c r="V626" s="143"/>
      <c r="W626" s="143"/>
    </row>
    <row r="627" ht="12.75" customHeight="1">
      <c r="A627" s="175"/>
      <c r="B627" s="175"/>
      <c r="C627" s="175"/>
      <c r="D627" s="176"/>
      <c r="E627" s="175"/>
      <c r="F627" s="177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43"/>
      <c r="V627" s="143"/>
      <c r="W627" s="143"/>
    </row>
    <row r="628" ht="12.75" customHeight="1">
      <c r="A628" s="175"/>
      <c r="B628" s="175"/>
      <c r="C628" s="175"/>
      <c r="D628" s="176"/>
      <c r="E628" s="175"/>
      <c r="F628" s="177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43"/>
      <c r="V628" s="143"/>
      <c r="W628" s="143"/>
    </row>
    <row r="629" ht="12.75" customHeight="1">
      <c r="A629" s="175"/>
      <c r="B629" s="175"/>
      <c r="C629" s="175"/>
      <c r="D629" s="176"/>
      <c r="E629" s="175"/>
      <c r="F629" s="177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43"/>
      <c r="V629" s="143"/>
      <c r="W629" s="143"/>
    </row>
    <row r="630" ht="12.75" customHeight="1">
      <c r="A630" s="175"/>
      <c r="B630" s="175"/>
      <c r="C630" s="175"/>
      <c r="D630" s="176"/>
      <c r="E630" s="175"/>
      <c r="F630" s="177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43"/>
      <c r="V630" s="143"/>
      <c r="W630" s="143"/>
    </row>
    <row r="631" ht="12.75" customHeight="1">
      <c r="A631" s="175"/>
      <c r="B631" s="175"/>
      <c r="C631" s="175"/>
      <c r="D631" s="176"/>
      <c r="E631" s="175"/>
      <c r="F631" s="177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43"/>
      <c r="V631" s="143"/>
      <c r="W631" s="143"/>
    </row>
    <row r="632" ht="12.75" customHeight="1">
      <c r="A632" s="175"/>
      <c r="B632" s="175"/>
      <c r="C632" s="175"/>
      <c r="D632" s="176"/>
      <c r="E632" s="175"/>
      <c r="F632" s="177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43"/>
      <c r="V632" s="143"/>
      <c r="W632" s="143"/>
    </row>
    <row r="633" ht="12.75" customHeight="1">
      <c r="A633" s="175"/>
      <c r="B633" s="175"/>
      <c r="C633" s="175"/>
      <c r="D633" s="176"/>
      <c r="E633" s="175"/>
      <c r="F633" s="177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43"/>
      <c r="V633" s="143"/>
      <c r="W633" s="143"/>
    </row>
    <row r="634" ht="12.75" customHeight="1">
      <c r="A634" s="175"/>
      <c r="B634" s="175"/>
      <c r="C634" s="175"/>
      <c r="D634" s="176"/>
      <c r="E634" s="175"/>
      <c r="F634" s="177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43"/>
      <c r="V634" s="143"/>
      <c r="W634" s="143"/>
    </row>
    <row r="635" ht="12.75" customHeight="1">
      <c r="A635" s="175"/>
      <c r="B635" s="175"/>
      <c r="C635" s="175"/>
      <c r="D635" s="176"/>
      <c r="E635" s="175"/>
      <c r="F635" s="177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43"/>
      <c r="V635" s="143"/>
      <c r="W635" s="143"/>
    </row>
    <row r="636" ht="12.75" customHeight="1">
      <c r="A636" s="175"/>
      <c r="B636" s="175"/>
      <c r="C636" s="175"/>
      <c r="D636" s="176"/>
      <c r="E636" s="175"/>
      <c r="F636" s="177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43"/>
      <c r="V636" s="143"/>
      <c r="W636" s="143"/>
    </row>
    <row r="637" ht="12.75" customHeight="1">
      <c r="A637" s="175"/>
      <c r="B637" s="175"/>
      <c r="C637" s="175"/>
      <c r="D637" s="176"/>
      <c r="E637" s="175"/>
      <c r="F637" s="177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43"/>
      <c r="V637" s="143"/>
      <c r="W637" s="143"/>
    </row>
    <row r="638" ht="12.75" customHeight="1">
      <c r="A638" s="175"/>
      <c r="B638" s="175"/>
      <c r="C638" s="175"/>
      <c r="D638" s="176"/>
      <c r="E638" s="175"/>
      <c r="F638" s="177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43"/>
      <c r="V638" s="143"/>
      <c r="W638" s="143"/>
    </row>
    <row r="639" ht="12.75" customHeight="1">
      <c r="A639" s="175"/>
      <c r="B639" s="175"/>
      <c r="C639" s="175"/>
      <c r="D639" s="176"/>
      <c r="E639" s="175"/>
      <c r="F639" s="177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43"/>
      <c r="V639" s="143"/>
      <c r="W639" s="143"/>
    </row>
    <row r="640" ht="12.75" customHeight="1">
      <c r="A640" s="175"/>
      <c r="B640" s="175"/>
      <c r="C640" s="175"/>
      <c r="D640" s="176"/>
      <c r="E640" s="175"/>
      <c r="F640" s="177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43"/>
      <c r="V640" s="143"/>
      <c r="W640" s="143"/>
    </row>
    <row r="641" ht="12.75" customHeight="1">
      <c r="A641" s="175"/>
      <c r="B641" s="175"/>
      <c r="C641" s="175"/>
      <c r="D641" s="176"/>
      <c r="E641" s="175"/>
      <c r="F641" s="177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43"/>
      <c r="V641" s="143"/>
      <c r="W641" s="143"/>
    </row>
    <row r="642" ht="12.75" customHeight="1">
      <c r="A642" s="175"/>
      <c r="B642" s="175"/>
      <c r="C642" s="175"/>
      <c r="D642" s="176"/>
      <c r="E642" s="175"/>
      <c r="F642" s="177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43"/>
      <c r="V642" s="143"/>
      <c r="W642" s="143"/>
    </row>
    <row r="643" ht="12.75" customHeight="1">
      <c r="A643" s="175"/>
      <c r="B643" s="175"/>
      <c r="C643" s="175"/>
      <c r="D643" s="176"/>
      <c r="E643" s="175"/>
      <c r="F643" s="177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43"/>
      <c r="V643" s="143"/>
      <c r="W643" s="143"/>
    </row>
    <row r="644" ht="12.75" customHeight="1">
      <c r="A644" s="175"/>
      <c r="B644" s="175"/>
      <c r="C644" s="175"/>
      <c r="D644" s="176"/>
      <c r="E644" s="175"/>
      <c r="F644" s="177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43"/>
      <c r="V644" s="143"/>
      <c r="W644" s="143"/>
    </row>
    <row r="645" ht="12.75" customHeight="1">
      <c r="A645" s="175"/>
      <c r="B645" s="175"/>
      <c r="C645" s="175"/>
      <c r="D645" s="176"/>
      <c r="E645" s="175"/>
      <c r="F645" s="177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43"/>
      <c r="V645" s="143"/>
      <c r="W645" s="143"/>
    </row>
    <row r="646" ht="12.75" customHeight="1">
      <c r="A646" s="175"/>
      <c r="B646" s="175"/>
      <c r="C646" s="175"/>
      <c r="D646" s="176"/>
      <c r="E646" s="175"/>
      <c r="F646" s="177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43"/>
      <c r="V646" s="143"/>
      <c r="W646" s="143"/>
    </row>
    <row r="647" ht="12.75" customHeight="1">
      <c r="A647" s="175"/>
      <c r="B647" s="175"/>
      <c r="C647" s="175"/>
      <c r="D647" s="176"/>
      <c r="E647" s="175"/>
      <c r="F647" s="177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43"/>
      <c r="V647" s="143"/>
      <c r="W647" s="143"/>
    </row>
    <row r="648" ht="12.75" customHeight="1">
      <c r="A648" s="175"/>
      <c r="B648" s="175"/>
      <c r="C648" s="175"/>
      <c r="D648" s="176"/>
      <c r="E648" s="175"/>
      <c r="F648" s="177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43"/>
      <c r="V648" s="143"/>
      <c r="W648" s="143"/>
    </row>
    <row r="649" ht="12.75" customHeight="1">
      <c r="A649" s="175"/>
      <c r="B649" s="175"/>
      <c r="C649" s="175"/>
      <c r="D649" s="176"/>
      <c r="E649" s="175"/>
      <c r="F649" s="177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43"/>
      <c r="V649" s="143"/>
      <c r="W649" s="143"/>
    </row>
    <row r="650" ht="12.75" customHeight="1">
      <c r="A650" s="175"/>
      <c r="B650" s="175"/>
      <c r="C650" s="175"/>
      <c r="D650" s="176"/>
      <c r="E650" s="175"/>
      <c r="F650" s="177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43"/>
      <c r="V650" s="143"/>
      <c r="W650" s="143"/>
    </row>
    <row r="651" ht="12.75" customHeight="1">
      <c r="A651" s="175"/>
      <c r="B651" s="175"/>
      <c r="C651" s="175"/>
      <c r="D651" s="176"/>
      <c r="E651" s="175"/>
      <c r="F651" s="177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43"/>
      <c r="V651" s="143"/>
      <c r="W651" s="143"/>
    </row>
    <row r="652" ht="12.75" customHeight="1">
      <c r="A652" s="175"/>
      <c r="B652" s="175"/>
      <c r="C652" s="175"/>
      <c r="D652" s="176"/>
      <c r="E652" s="175"/>
      <c r="F652" s="177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43"/>
      <c r="V652" s="143"/>
      <c r="W652" s="143"/>
    </row>
    <row r="653" ht="12.75" customHeight="1">
      <c r="A653" s="175"/>
      <c r="B653" s="175"/>
      <c r="C653" s="175"/>
      <c r="D653" s="176"/>
      <c r="E653" s="175"/>
      <c r="F653" s="177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43"/>
      <c r="V653" s="143"/>
      <c r="W653" s="143"/>
    </row>
    <row r="654" ht="12.75" customHeight="1">
      <c r="A654" s="175"/>
      <c r="B654" s="175"/>
      <c r="C654" s="175"/>
      <c r="D654" s="176"/>
      <c r="E654" s="175"/>
      <c r="F654" s="177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43"/>
      <c r="V654" s="143"/>
      <c r="W654" s="143"/>
    </row>
    <row r="655" ht="12.75" customHeight="1">
      <c r="A655" s="175"/>
      <c r="B655" s="175"/>
      <c r="C655" s="175"/>
      <c r="D655" s="176"/>
      <c r="E655" s="175"/>
      <c r="F655" s="177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43"/>
      <c r="V655" s="143"/>
      <c r="W655" s="143"/>
    </row>
    <row r="656" ht="12.75" customHeight="1">
      <c r="A656" s="175"/>
      <c r="B656" s="175"/>
      <c r="C656" s="175"/>
      <c r="D656" s="176"/>
      <c r="E656" s="175"/>
      <c r="F656" s="177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43"/>
      <c r="V656" s="143"/>
      <c r="W656" s="143"/>
    </row>
    <row r="657" ht="12.75" customHeight="1">
      <c r="A657" s="175"/>
      <c r="B657" s="175"/>
      <c r="C657" s="175"/>
      <c r="D657" s="176"/>
      <c r="E657" s="175"/>
      <c r="F657" s="177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43"/>
      <c r="V657" s="143"/>
      <c r="W657" s="143"/>
    </row>
    <row r="658" ht="12.75" customHeight="1">
      <c r="A658" s="175"/>
      <c r="B658" s="175"/>
      <c r="C658" s="175"/>
      <c r="D658" s="176"/>
      <c r="E658" s="175"/>
      <c r="F658" s="177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43"/>
      <c r="V658" s="143"/>
      <c r="W658" s="143"/>
    </row>
    <row r="659" ht="12.75" customHeight="1">
      <c r="A659" s="175"/>
      <c r="B659" s="175"/>
      <c r="C659" s="175"/>
      <c r="D659" s="176"/>
      <c r="E659" s="175"/>
      <c r="F659" s="177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43"/>
      <c r="V659" s="143"/>
      <c r="W659" s="143"/>
    </row>
    <row r="660" ht="12.75" customHeight="1">
      <c r="A660" s="175"/>
      <c r="B660" s="175"/>
      <c r="C660" s="175"/>
      <c r="D660" s="176"/>
      <c r="E660" s="175"/>
      <c r="F660" s="177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43"/>
      <c r="V660" s="143"/>
      <c r="W660" s="143"/>
    </row>
    <row r="661" ht="12.75" customHeight="1">
      <c r="A661" s="175"/>
      <c r="B661" s="175"/>
      <c r="C661" s="175"/>
      <c r="D661" s="176"/>
      <c r="E661" s="175"/>
      <c r="F661" s="177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43"/>
      <c r="V661" s="143"/>
      <c r="W661" s="143"/>
    </row>
    <row r="662" ht="12.75" customHeight="1">
      <c r="A662" s="175"/>
      <c r="B662" s="175"/>
      <c r="C662" s="175"/>
      <c r="D662" s="176"/>
      <c r="E662" s="175"/>
      <c r="F662" s="177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43"/>
      <c r="V662" s="143"/>
      <c r="W662" s="143"/>
    </row>
    <row r="663" ht="12.75" customHeight="1">
      <c r="A663" s="175"/>
      <c r="B663" s="175"/>
      <c r="C663" s="175"/>
      <c r="D663" s="176"/>
      <c r="E663" s="175"/>
      <c r="F663" s="177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43"/>
      <c r="V663" s="143"/>
      <c r="W663" s="143"/>
    </row>
    <row r="664" ht="12.75" customHeight="1">
      <c r="A664" s="175"/>
      <c r="B664" s="175"/>
      <c r="C664" s="175"/>
      <c r="D664" s="176"/>
      <c r="E664" s="175"/>
      <c r="F664" s="177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43"/>
      <c r="V664" s="143"/>
      <c r="W664" s="143"/>
    </row>
    <row r="665" ht="12.75" customHeight="1">
      <c r="A665" s="175"/>
      <c r="B665" s="175"/>
      <c r="C665" s="175"/>
      <c r="D665" s="176"/>
      <c r="E665" s="175"/>
      <c r="F665" s="177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43"/>
      <c r="V665" s="143"/>
      <c r="W665" s="143"/>
    </row>
    <row r="666" ht="12.75" customHeight="1">
      <c r="A666" s="175"/>
      <c r="B666" s="175"/>
      <c r="C666" s="175"/>
      <c r="D666" s="176"/>
      <c r="E666" s="175"/>
      <c r="F666" s="177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43"/>
      <c r="V666" s="143"/>
      <c r="W666" s="143"/>
    </row>
    <row r="667" ht="12.75" customHeight="1">
      <c r="A667" s="175"/>
      <c r="B667" s="175"/>
      <c r="C667" s="175"/>
      <c r="D667" s="176"/>
      <c r="E667" s="175"/>
      <c r="F667" s="177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43"/>
      <c r="V667" s="143"/>
      <c r="W667" s="143"/>
    </row>
    <row r="668" ht="12.75" customHeight="1">
      <c r="A668" s="175"/>
      <c r="B668" s="175"/>
      <c r="C668" s="175"/>
      <c r="D668" s="176"/>
      <c r="E668" s="175"/>
      <c r="F668" s="177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43"/>
      <c r="V668" s="143"/>
      <c r="W668" s="143"/>
    </row>
    <row r="669" ht="12.75" customHeight="1">
      <c r="A669" s="175"/>
      <c r="B669" s="175"/>
      <c r="C669" s="175"/>
      <c r="D669" s="176"/>
      <c r="E669" s="175"/>
      <c r="F669" s="177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43"/>
      <c r="V669" s="143"/>
      <c r="W669" s="143"/>
    </row>
    <row r="670" ht="12.75" customHeight="1">
      <c r="A670" s="175"/>
      <c r="B670" s="175"/>
      <c r="C670" s="175"/>
      <c r="D670" s="176"/>
      <c r="E670" s="175"/>
      <c r="F670" s="177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43"/>
      <c r="V670" s="143"/>
      <c r="W670" s="143"/>
    </row>
    <row r="671" ht="12.75" customHeight="1">
      <c r="A671" s="175"/>
      <c r="B671" s="175"/>
      <c r="C671" s="175"/>
      <c r="D671" s="176"/>
      <c r="E671" s="175"/>
      <c r="F671" s="177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43"/>
      <c r="V671" s="143"/>
      <c r="W671" s="143"/>
    </row>
    <row r="672" ht="12.75" customHeight="1">
      <c r="A672" s="175"/>
      <c r="B672" s="175"/>
      <c r="C672" s="175"/>
      <c r="D672" s="176"/>
      <c r="E672" s="175"/>
      <c r="F672" s="177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43"/>
      <c r="V672" s="143"/>
      <c r="W672" s="143"/>
    </row>
    <row r="673" ht="12.75" customHeight="1">
      <c r="A673" s="175"/>
      <c r="B673" s="175"/>
      <c r="C673" s="175"/>
      <c r="D673" s="176"/>
      <c r="E673" s="175"/>
      <c r="F673" s="177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43"/>
      <c r="V673" s="143"/>
      <c r="W673" s="143"/>
    </row>
    <row r="674" ht="12.75" customHeight="1">
      <c r="A674" s="175"/>
      <c r="B674" s="175"/>
      <c r="C674" s="175"/>
      <c r="D674" s="176"/>
      <c r="E674" s="175"/>
      <c r="F674" s="177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43"/>
      <c r="V674" s="143"/>
      <c r="W674" s="143"/>
    </row>
    <row r="675" ht="12.75" customHeight="1">
      <c r="A675" s="175"/>
      <c r="B675" s="175"/>
      <c r="C675" s="175"/>
      <c r="D675" s="176"/>
      <c r="E675" s="175"/>
      <c r="F675" s="177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43"/>
      <c r="V675" s="143"/>
      <c r="W675" s="143"/>
    </row>
    <row r="676" ht="12.75" customHeight="1">
      <c r="A676" s="175"/>
      <c r="B676" s="175"/>
      <c r="C676" s="175"/>
      <c r="D676" s="176"/>
      <c r="E676" s="175"/>
      <c r="F676" s="177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43"/>
      <c r="V676" s="143"/>
      <c r="W676" s="143"/>
    </row>
    <row r="677" ht="12.75" customHeight="1">
      <c r="A677" s="175"/>
      <c r="B677" s="175"/>
      <c r="C677" s="175"/>
      <c r="D677" s="176"/>
      <c r="E677" s="175"/>
      <c r="F677" s="177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43"/>
      <c r="V677" s="143"/>
      <c r="W677" s="143"/>
    </row>
    <row r="678" ht="12.75" customHeight="1">
      <c r="A678" s="175"/>
      <c r="B678" s="175"/>
      <c r="C678" s="175"/>
      <c r="D678" s="176"/>
      <c r="E678" s="175"/>
      <c r="F678" s="177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43"/>
      <c r="V678" s="143"/>
      <c r="W678" s="143"/>
    </row>
    <row r="679" ht="12.75" customHeight="1">
      <c r="A679" s="175"/>
      <c r="B679" s="175"/>
      <c r="C679" s="175"/>
      <c r="D679" s="176"/>
      <c r="E679" s="175"/>
      <c r="F679" s="177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43"/>
      <c r="V679" s="143"/>
      <c r="W679" s="143"/>
    </row>
    <row r="680" ht="12.75" customHeight="1">
      <c r="A680" s="175"/>
      <c r="B680" s="175"/>
      <c r="C680" s="175"/>
      <c r="D680" s="176"/>
      <c r="E680" s="175"/>
      <c r="F680" s="177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43"/>
      <c r="V680" s="143"/>
      <c r="W680" s="143"/>
    </row>
    <row r="681" ht="12.75" customHeight="1">
      <c r="A681" s="175"/>
      <c r="B681" s="175"/>
      <c r="C681" s="175"/>
      <c r="D681" s="176"/>
      <c r="E681" s="175"/>
      <c r="F681" s="177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43"/>
      <c r="V681" s="143"/>
      <c r="W681" s="143"/>
    </row>
    <row r="682" ht="12.75" customHeight="1">
      <c r="A682" s="175"/>
      <c r="B682" s="175"/>
      <c r="C682" s="175"/>
      <c r="D682" s="176"/>
      <c r="E682" s="175"/>
      <c r="F682" s="177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43"/>
      <c r="V682" s="143"/>
      <c r="W682" s="143"/>
    </row>
    <row r="683" ht="12.75" customHeight="1">
      <c r="A683" s="175"/>
      <c r="B683" s="175"/>
      <c r="C683" s="175"/>
      <c r="D683" s="176"/>
      <c r="E683" s="175"/>
      <c r="F683" s="177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43"/>
      <c r="V683" s="143"/>
      <c r="W683" s="143"/>
    </row>
    <row r="684" ht="12.75" customHeight="1">
      <c r="A684" s="175"/>
      <c r="B684" s="175"/>
      <c r="C684" s="175"/>
      <c r="D684" s="176"/>
      <c r="E684" s="175"/>
      <c r="F684" s="177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43"/>
      <c r="V684" s="143"/>
      <c r="W684" s="143"/>
    </row>
    <row r="685" ht="12.75" customHeight="1">
      <c r="A685" s="175"/>
      <c r="B685" s="175"/>
      <c r="C685" s="175"/>
      <c r="D685" s="176"/>
      <c r="E685" s="175"/>
      <c r="F685" s="177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43"/>
      <c r="V685" s="143"/>
      <c r="W685" s="143"/>
    </row>
    <row r="686" ht="12.75" customHeight="1">
      <c r="A686" s="175"/>
      <c r="B686" s="175"/>
      <c r="C686" s="175"/>
      <c r="D686" s="176"/>
      <c r="E686" s="175"/>
      <c r="F686" s="177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43"/>
      <c r="V686" s="143"/>
      <c r="W686" s="143"/>
    </row>
    <row r="687" ht="12.75" customHeight="1">
      <c r="A687" s="175"/>
      <c r="B687" s="175"/>
      <c r="C687" s="175"/>
      <c r="D687" s="176"/>
      <c r="E687" s="175"/>
      <c r="F687" s="177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43"/>
      <c r="V687" s="143"/>
      <c r="W687" s="143"/>
    </row>
    <row r="688" ht="12.75" customHeight="1">
      <c r="A688" s="175"/>
      <c r="B688" s="175"/>
      <c r="C688" s="175"/>
      <c r="D688" s="176"/>
      <c r="E688" s="175"/>
      <c r="F688" s="177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43"/>
      <c r="V688" s="143"/>
      <c r="W688" s="143"/>
    </row>
    <row r="689" ht="12.75" customHeight="1">
      <c r="A689" s="175"/>
      <c r="B689" s="175"/>
      <c r="C689" s="175"/>
      <c r="D689" s="176"/>
      <c r="E689" s="175"/>
      <c r="F689" s="177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43"/>
      <c r="V689" s="143"/>
      <c r="W689" s="143"/>
    </row>
    <row r="690" ht="12.75" customHeight="1">
      <c r="A690" s="175"/>
      <c r="B690" s="175"/>
      <c r="C690" s="175"/>
      <c r="D690" s="176"/>
      <c r="E690" s="175"/>
      <c r="F690" s="177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43"/>
      <c r="V690" s="143"/>
      <c r="W690" s="143"/>
    </row>
    <row r="691" ht="12.75" customHeight="1">
      <c r="A691" s="175"/>
      <c r="B691" s="175"/>
      <c r="C691" s="175"/>
      <c r="D691" s="176"/>
      <c r="E691" s="175"/>
      <c r="F691" s="177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43"/>
      <c r="V691" s="143"/>
      <c r="W691" s="143"/>
    </row>
    <row r="692" ht="12.75" customHeight="1">
      <c r="A692" s="175"/>
      <c r="B692" s="175"/>
      <c r="C692" s="175"/>
      <c r="D692" s="176"/>
      <c r="E692" s="175"/>
      <c r="F692" s="177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43"/>
      <c r="V692" s="143"/>
      <c r="W692" s="143"/>
    </row>
    <row r="693" ht="12.75" customHeight="1">
      <c r="A693" s="175"/>
      <c r="B693" s="175"/>
      <c r="C693" s="175"/>
      <c r="D693" s="176"/>
      <c r="E693" s="175"/>
      <c r="F693" s="177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43"/>
      <c r="V693" s="143"/>
      <c r="W693" s="143"/>
    </row>
    <row r="694" ht="12.75" customHeight="1">
      <c r="A694" s="175"/>
      <c r="B694" s="175"/>
      <c r="C694" s="175"/>
      <c r="D694" s="176"/>
      <c r="E694" s="175"/>
      <c r="F694" s="177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43"/>
      <c r="V694" s="143"/>
      <c r="W694" s="143"/>
    </row>
    <row r="695" ht="12.75" customHeight="1">
      <c r="A695" s="175"/>
      <c r="B695" s="175"/>
      <c r="C695" s="175"/>
      <c r="D695" s="176"/>
      <c r="E695" s="175"/>
      <c r="F695" s="177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43"/>
      <c r="V695" s="143"/>
      <c r="W695" s="143"/>
    </row>
    <row r="696" ht="12.75" customHeight="1">
      <c r="A696" s="175"/>
      <c r="B696" s="175"/>
      <c r="C696" s="175"/>
      <c r="D696" s="176"/>
      <c r="E696" s="175"/>
      <c r="F696" s="177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43"/>
      <c r="V696" s="143"/>
      <c r="W696" s="143"/>
    </row>
    <row r="697" ht="12.75" customHeight="1">
      <c r="A697" s="175"/>
      <c r="B697" s="175"/>
      <c r="C697" s="175"/>
      <c r="D697" s="176"/>
      <c r="E697" s="175"/>
      <c r="F697" s="177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43"/>
      <c r="V697" s="143"/>
      <c r="W697" s="143"/>
    </row>
    <row r="698" ht="12.75" customHeight="1">
      <c r="A698" s="175"/>
      <c r="B698" s="175"/>
      <c r="C698" s="175"/>
      <c r="D698" s="176"/>
      <c r="E698" s="175"/>
      <c r="F698" s="177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43"/>
      <c r="V698" s="143"/>
      <c r="W698" s="143"/>
    </row>
    <row r="699" ht="12.75" customHeight="1">
      <c r="A699" s="175"/>
      <c r="B699" s="175"/>
      <c r="C699" s="175"/>
      <c r="D699" s="176"/>
      <c r="E699" s="175"/>
      <c r="F699" s="177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43"/>
      <c r="V699" s="143"/>
      <c r="W699" s="143"/>
    </row>
    <row r="700" ht="12.75" customHeight="1">
      <c r="A700" s="175"/>
      <c r="B700" s="175"/>
      <c r="C700" s="175"/>
      <c r="D700" s="176"/>
      <c r="E700" s="175"/>
      <c r="F700" s="177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43"/>
      <c r="V700" s="143"/>
      <c r="W700" s="143"/>
    </row>
    <row r="701" ht="12.75" customHeight="1">
      <c r="A701" s="175"/>
      <c r="B701" s="175"/>
      <c r="C701" s="175"/>
      <c r="D701" s="176"/>
      <c r="E701" s="175"/>
      <c r="F701" s="177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43"/>
      <c r="V701" s="143"/>
      <c r="W701" s="143"/>
    </row>
    <row r="702" ht="12.75" customHeight="1">
      <c r="A702" s="175"/>
      <c r="B702" s="175"/>
      <c r="C702" s="175"/>
      <c r="D702" s="176"/>
      <c r="E702" s="175"/>
      <c r="F702" s="177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43"/>
      <c r="V702" s="143"/>
      <c r="W702" s="143"/>
    </row>
    <row r="703" ht="12.75" customHeight="1">
      <c r="A703" s="175"/>
      <c r="B703" s="175"/>
      <c r="C703" s="175"/>
      <c r="D703" s="176"/>
      <c r="E703" s="175"/>
      <c r="F703" s="177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43"/>
      <c r="V703" s="143"/>
      <c r="W703" s="143"/>
    </row>
    <row r="704" ht="12.75" customHeight="1">
      <c r="A704" s="175"/>
      <c r="B704" s="175"/>
      <c r="C704" s="175"/>
      <c r="D704" s="176"/>
      <c r="E704" s="175"/>
      <c r="F704" s="177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43"/>
      <c r="V704" s="143"/>
      <c r="W704" s="143"/>
    </row>
    <row r="705" ht="12.75" customHeight="1">
      <c r="A705" s="175"/>
      <c r="B705" s="175"/>
      <c r="C705" s="175"/>
      <c r="D705" s="176"/>
      <c r="E705" s="175"/>
      <c r="F705" s="177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43"/>
      <c r="V705" s="143"/>
      <c r="W705" s="143"/>
    </row>
    <row r="706" ht="12.75" customHeight="1">
      <c r="A706" s="175"/>
      <c r="B706" s="175"/>
      <c r="C706" s="175"/>
      <c r="D706" s="176"/>
      <c r="E706" s="175"/>
      <c r="F706" s="177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43"/>
      <c r="V706" s="143"/>
      <c r="W706" s="143"/>
    </row>
    <row r="707" ht="12.75" customHeight="1">
      <c r="A707" s="175"/>
      <c r="B707" s="175"/>
      <c r="C707" s="175"/>
      <c r="D707" s="176"/>
      <c r="E707" s="175"/>
      <c r="F707" s="177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43"/>
      <c r="V707" s="143"/>
      <c r="W707" s="143"/>
    </row>
    <row r="708" ht="12.75" customHeight="1">
      <c r="A708" s="175"/>
      <c r="B708" s="175"/>
      <c r="C708" s="175"/>
      <c r="D708" s="176"/>
      <c r="E708" s="175"/>
      <c r="F708" s="177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43"/>
      <c r="V708" s="143"/>
      <c r="W708" s="143"/>
    </row>
    <row r="709" ht="12.75" customHeight="1">
      <c r="A709" s="175"/>
      <c r="B709" s="175"/>
      <c r="C709" s="175"/>
      <c r="D709" s="176"/>
      <c r="E709" s="175"/>
      <c r="F709" s="177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43"/>
      <c r="V709" s="143"/>
      <c r="W709" s="143"/>
    </row>
    <row r="710" ht="12.75" customHeight="1">
      <c r="A710" s="175"/>
      <c r="B710" s="175"/>
      <c r="C710" s="175"/>
      <c r="D710" s="176"/>
      <c r="E710" s="175"/>
      <c r="F710" s="177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43"/>
      <c r="V710" s="143"/>
      <c r="W710" s="143"/>
    </row>
    <row r="711" ht="12.75" customHeight="1">
      <c r="A711" s="175"/>
      <c r="B711" s="175"/>
      <c r="C711" s="175"/>
      <c r="D711" s="176"/>
      <c r="E711" s="175"/>
      <c r="F711" s="177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43"/>
      <c r="V711" s="143"/>
      <c r="W711" s="143"/>
    </row>
    <row r="712" ht="12.75" customHeight="1">
      <c r="A712" s="175"/>
      <c r="B712" s="175"/>
      <c r="C712" s="175"/>
      <c r="D712" s="176"/>
      <c r="E712" s="175"/>
      <c r="F712" s="177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43"/>
      <c r="V712" s="143"/>
      <c r="W712" s="143"/>
    </row>
    <row r="713" ht="12.75" customHeight="1">
      <c r="A713" s="175"/>
      <c r="B713" s="175"/>
      <c r="C713" s="175"/>
      <c r="D713" s="176"/>
      <c r="E713" s="175"/>
      <c r="F713" s="177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43"/>
      <c r="V713" s="143"/>
      <c r="W713" s="143"/>
    </row>
    <row r="714" ht="12.75" customHeight="1">
      <c r="A714" s="175"/>
      <c r="B714" s="175"/>
      <c r="C714" s="175"/>
      <c r="D714" s="176"/>
      <c r="E714" s="175"/>
      <c r="F714" s="177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43"/>
      <c r="V714" s="143"/>
      <c r="W714" s="143"/>
    </row>
    <row r="715" ht="12.75" customHeight="1">
      <c r="A715" s="175"/>
      <c r="B715" s="175"/>
      <c r="C715" s="175"/>
      <c r="D715" s="176"/>
      <c r="E715" s="175"/>
      <c r="F715" s="177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43"/>
      <c r="V715" s="143"/>
      <c r="W715" s="143"/>
    </row>
    <row r="716" ht="12.75" customHeight="1">
      <c r="A716" s="175"/>
      <c r="B716" s="175"/>
      <c r="C716" s="175"/>
      <c r="D716" s="176"/>
      <c r="E716" s="175"/>
      <c r="F716" s="177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43"/>
      <c r="V716" s="143"/>
      <c r="W716" s="143"/>
    </row>
    <row r="717" ht="12.75" customHeight="1">
      <c r="A717" s="175"/>
      <c r="B717" s="175"/>
      <c r="C717" s="175"/>
      <c r="D717" s="176"/>
      <c r="E717" s="175"/>
      <c r="F717" s="177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43"/>
      <c r="V717" s="143"/>
      <c r="W717" s="143"/>
    </row>
    <row r="718" ht="12.75" customHeight="1">
      <c r="A718" s="175"/>
      <c r="B718" s="175"/>
      <c r="C718" s="175"/>
      <c r="D718" s="176"/>
      <c r="E718" s="175"/>
      <c r="F718" s="177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43"/>
      <c r="V718" s="143"/>
      <c r="W718" s="143"/>
    </row>
    <row r="719" ht="12.75" customHeight="1">
      <c r="A719" s="175"/>
      <c r="B719" s="175"/>
      <c r="C719" s="175"/>
      <c r="D719" s="176"/>
      <c r="E719" s="175"/>
      <c r="F719" s="177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43"/>
      <c r="V719" s="143"/>
      <c r="W719" s="143"/>
    </row>
    <row r="720" ht="12.75" customHeight="1">
      <c r="A720" s="175"/>
      <c r="B720" s="175"/>
      <c r="C720" s="175"/>
      <c r="D720" s="176"/>
      <c r="E720" s="175"/>
      <c r="F720" s="177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43"/>
      <c r="V720" s="143"/>
      <c r="W720" s="143"/>
    </row>
    <row r="721" ht="12.75" customHeight="1">
      <c r="A721" s="175"/>
      <c r="B721" s="175"/>
      <c r="C721" s="175"/>
      <c r="D721" s="176"/>
      <c r="E721" s="175"/>
      <c r="F721" s="177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43"/>
      <c r="V721" s="143"/>
      <c r="W721" s="143"/>
    </row>
    <row r="722" ht="12.75" customHeight="1">
      <c r="A722" s="175"/>
      <c r="B722" s="175"/>
      <c r="C722" s="175"/>
      <c r="D722" s="176"/>
      <c r="E722" s="175"/>
      <c r="F722" s="177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43"/>
      <c r="V722" s="143"/>
      <c r="W722" s="143"/>
    </row>
    <row r="723" ht="12.75" customHeight="1">
      <c r="A723" s="175"/>
      <c r="B723" s="175"/>
      <c r="C723" s="175"/>
      <c r="D723" s="176"/>
      <c r="E723" s="175"/>
      <c r="F723" s="177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43"/>
      <c r="V723" s="143"/>
      <c r="W723" s="143"/>
    </row>
    <row r="724" ht="12.75" customHeight="1">
      <c r="A724" s="175"/>
      <c r="B724" s="175"/>
      <c r="C724" s="175"/>
      <c r="D724" s="176"/>
      <c r="E724" s="175"/>
      <c r="F724" s="177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43"/>
      <c r="V724" s="143"/>
      <c r="W724" s="143"/>
    </row>
    <row r="725" ht="12.75" customHeight="1">
      <c r="A725" s="175"/>
      <c r="B725" s="175"/>
      <c r="C725" s="175"/>
      <c r="D725" s="176"/>
      <c r="E725" s="175"/>
      <c r="F725" s="177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43"/>
      <c r="V725" s="143"/>
      <c r="W725" s="143"/>
    </row>
    <row r="726" ht="12.75" customHeight="1">
      <c r="A726" s="175"/>
      <c r="B726" s="175"/>
      <c r="C726" s="175"/>
      <c r="D726" s="176"/>
      <c r="E726" s="175"/>
      <c r="F726" s="177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43"/>
      <c r="V726" s="143"/>
      <c r="W726" s="143"/>
    </row>
    <row r="727" ht="12.75" customHeight="1">
      <c r="A727" s="175"/>
      <c r="B727" s="175"/>
      <c r="C727" s="175"/>
      <c r="D727" s="176"/>
      <c r="E727" s="175"/>
      <c r="F727" s="177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43"/>
      <c r="V727" s="143"/>
      <c r="W727" s="143"/>
    </row>
    <row r="728" ht="12.75" customHeight="1">
      <c r="A728" s="175"/>
      <c r="B728" s="175"/>
      <c r="C728" s="175"/>
      <c r="D728" s="176"/>
      <c r="E728" s="175"/>
      <c r="F728" s="177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43"/>
      <c r="V728" s="143"/>
      <c r="W728" s="143"/>
    </row>
    <row r="729" ht="12.75" customHeight="1">
      <c r="A729" s="175"/>
      <c r="B729" s="175"/>
      <c r="C729" s="175"/>
      <c r="D729" s="176"/>
      <c r="E729" s="175"/>
      <c r="F729" s="177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43"/>
      <c r="V729" s="143"/>
      <c r="W729" s="143"/>
    </row>
    <row r="730" ht="12.75" customHeight="1">
      <c r="A730" s="175"/>
      <c r="B730" s="175"/>
      <c r="C730" s="175"/>
      <c r="D730" s="176"/>
      <c r="E730" s="175"/>
      <c r="F730" s="177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43"/>
      <c r="V730" s="143"/>
      <c r="W730" s="143"/>
    </row>
    <row r="731" ht="12.75" customHeight="1">
      <c r="A731" s="175"/>
      <c r="B731" s="175"/>
      <c r="C731" s="175"/>
      <c r="D731" s="176"/>
      <c r="E731" s="175"/>
      <c r="F731" s="177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43"/>
      <c r="V731" s="143"/>
      <c r="W731" s="143"/>
    </row>
    <row r="732" ht="12.75" customHeight="1">
      <c r="A732" s="175"/>
      <c r="B732" s="175"/>
      <c r="C732" s="175"/>
      <c r="D732" s="176"/>
      <c r="E732" s="175"/>
      <c r="F732" s="177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43"/>
      <c r="V732" s="143"/>
      <c r="W732" s="143"/>
    </row>
    <row r="733" ht="12.75" customHeight="1">
      <c r="A733" s="175"/>
      <c r="B733" s="175"/>
      <c r="C733" s="175"/>
      <c r="D733" s="176"/>
      <c r="E733" s="175"/>
      <c r="F733" s="177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43"/>
      <c r="V733" s="143"/>
      <c r="W733" s="143"/>
    </row>
    <row r="734" ht="12.75" customHeight="1">
      <c r="A734" s="175"/>
      <c r="B734" s="175"/>
      <c r="C734" s="175"/>
      <c r="D734" s="176"/>
      <c r="E734" s="175"/>
      <c r="F734" s="177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43"/>
      <c r="V734" s="143"/>
      <c r="W734" s="143"/>
    </row>
    <row r="735" ht="12.75" customHeight="1">
      <c r="A735" s="175"/>
      <c r="B735" s="175"/>
      <c r="C735" s="175"/>
      <c r="D735" s="176"/>
      <c r="E735" s="175"/>
      <c r="F735" s="177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43"/>
      <c r="V735" s="143"/>
      <c r="W735" s="143"/>
    </row>
    <row r="736" ht="12.75" customHeight="1">
      <c r="A736" s="175"/>
      <c r="B736" s="175"/>
      <c r="C736" s="175"/>
      <c r="D736" s="176"/>
      <c r="E736" s="175"/>
      <c r="F736" s="177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43"/>
      <c r="V736" s="143"/>
      <c r="W736" s="143"/>
    </row>
    <row r="737" ht="12.75" customHeight="1">
      <c r="A737" s="175"/>
      <c r="B737" s="175"/>
      <c r="C737" s="175"/>
      <c r="D737" s="176"/>
      <c r="E737" s="175"/>
      <c r="F737" s="177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43"/>
      <c r="V737" s="143"/>
      <c r="W737" s="143"/>
    </row>
    <row r="738" ht="12.75" customHeight="1">
      <c r="A738" s="175"/>
      <c r="B738" s="175"/>
      <c r="C738" s="175"/>
      <c r="D738" s="176"/>
      <c r="E738" s="175"/>
      <c r="F738" s="177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43"/>
      <c r="V738" s="143"/>
      <c r="W738" s="143"/>
    </row>
    <row r="739" ht="12.75" customHeight="1">
      <c r="A739" s="175"/>
      <c r="B739" s="175"/>
      <c r="C739" s="175"/>
      <c r="D739" s="176"/>
      <c r="E739" s="175"/>
      <c r="F739" s="177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43"/>
      <c r="V739" s="143"/>
      <c r="W739" s="143"/>
    </row>
    <row r="740" ht="12.75" customHeight="1">
      <c r="A740" s="175"/>
      <c r="B740" s="175"/>
      <c r="C740" s="175"/>
      <c r="D740" s="176"/>
      <c r="E740" s="175"/>
      <c r="F740" s="177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43"/>
      <c r="V740" s="143"/>
      <c r="W740" s="143"/>
    </row>
    <row r="741" ht="12.75" customHeight="1">
      <c r="A741" s="175"/>
      <c r="B741" s="175"/>
      <c r="C741" s="175"/>
      <c r="D741" s="176"/>
      <c r="E741" s="175"/>
      <c r="F741" s="177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43"/>
      <c r="V741" s="143"/>
      <c r="W741" s="143"/>
    </row>
    <row r="742" ht="12.75" customHeight="1">
      <c r="A742" s="175"/>
      <c r="B742" s="175"/>
      <c r="C742" s="175"/>
      <c r="D742" s="176"/>
      <c r="E742" s="175"/>
      <c r="F742" s="177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43"/>
      <c r="V742" s="143"/>
      <c r="W742" s="143"/>
    </row>
    <row r="743" ht="12.75" customHeight="1">
      <c r="A743" s="175"/>
      <c r="B743" s="175"/>
      <c r="C743" s="175"/>
      <c r="D743" s="176"/>
      <c r="E743" s="175"/>
      <c r="F743" s="177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43"/>
      <c r="V743" s="143"/>
      <c r="W743" s="143"/>
    </row>
    <row r="744" ht="12.75" customHeight="1">
      <c r="A744" s="175"/>
      <c r="B744" s="175"/>
      <c r="C744" s="175"/>
      <c r="D744" s="176"/>
      <c r="E744" s="175"/>
      <c r="F744" s="177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43"/>
      <c r="V744" s="143"/>
      <c r="W744" s="143"/>
    </row>
    <row r="745" ht="12.75" customHeight="1">
      <c r="A745" s="175"/>
      <c r="B745" s="175"/>
      <c r="C745" s="175"/>
      <c r="D745" s="176"/>
      <c r="E745" s="175"/>
      <c r="F745" s="177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43"/>
      <c r="V745" s="143"/>
      <c r="W745" s="143"/>
    </row>
    <row r="746" ht="12.75" customHeight="1">
      <c r="A746" s="175"/>
      <c r="B746" s="175"/>
      <c r="C746" s="175"/>
      <c r="D746" s="176"/>
      <c r="E746" s="175"/>
      <c r="F746" s="177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43"/>
      <c r="V746" s="143"/>
      <c r="W746" s="143"/>
    </row>
    <row r="747" ht="12.75" customHeight="1">
      <c r="A747" s="175"/>
      <c r="B747" s="175"/>
      <c r="C747" s="175"/>
      <c r="D747" s="176"/>
      <c r="E747" s="175"/>
      <c r="F747" s="177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43"/>
      <c r="V747" s="143"/>
      <c r="W747" s="143"/>
    </row>
    <row r="748" ht="12.75" customHeight="1">
      <c r="A748" s="175"/>
      <c r="B748" s="175"/>
      <c r="C748" s="175"/>
      <c r="D748" s="176"/>
      <c r="E748" s="175"/>
      <c r="F748" s="177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43"/>
      <c r="V748" s="143"/>
      <c r="W748" s="143"/>
    </row>
    <row r="749" ht="12.75" customHeight="1">
      <c r="A749" s="175"/>
      <c r="B749" s="175"/>
      <c r="C749" s="175"/>
      <c r="D749" s="176"/>
      <c r="E749" s="175"/>
      <c r="F749" s="177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43"/>
      <c r="V749" s="143"/>
      <c r="W749" s="143"/>
    </row>
    <row r="750" ht="12.75" customHeight="1">
      <c r="A750" s="175"/>
      <c r="B750" s="175"/>
      <c r="C750" s="175"/>
      <c r="D750" s="176"/>
      <c r="E750" s="175"/>
      <c r="F750" s="177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43"/>
      <c r="V750" s="143"/>
      <c r="W750" s="143"/>
    </row>
    <row r="751" ht="12.75" customHeight="1">
      <c r="A751" s="175"/>
      <c r="B751" s="175"/>
      <c r="C751" s="175"/>
      <c r="D751" s="176"/>
      <c r="E751" s="175"/>
      <c r="F751" s="177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43"/>
      <c r="V751" s="143"/>
      <c r="W751" s="143"/>
    </row>
    <row r="752" ht="12.75" customHeight="1">
      <c r="A752" s="175"/>
      <c r="B752" s="175"/>
      <c r="C752" s="175"/>
      <c r="D752" s="176"/>
      <c r="E752" s="175"/>
      <c r="F752" s="177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43"/>
      <c r="V752" s="143"/>
      <c r="W752" s="143"/>
    </row>
    <row r="753" ht="12.75" customHeight="1">
      <c r="A753" s="175"/>
      <c r="B753" s="175"/>
      <c r="C753" s="175"/>
      <c r="D753" s="176"/>
      <c r="E753" s="175"/>
      <c r="F753" s="177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43"/>
      <c r="V753" s="143"/>
      <c r="W753" s="143"/>
    </row>
    <row r="754" ht="12.75" customHeight="1">
      <c r="A754" s="175"/>
      <c r="B754" s="175"/>
      <c r="C754" s="175"/>
      <c r="D754" s="176"/>
      <c r="E754" s="175"/>
      <c r="F754" s="177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43"/>
      <c r="V754" s="143"/>
      <c r="W754" s="143"/>
    </row>
    <row r="755" ht="12.75" customHeight="1">
      <c r="A755" s="175"/>
      <c r="B755" s="175"/>
      <c r="C755" s="175"/>
      <c r="D755" s="176"/>
      <c r="E755" s="175"/>
      <c r="F755" s="177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43"/>
      <c r="V755" s="143"/>
      <c r="W755" s="143"/>
    </row>
    <row r="756" ht="12.75" customHeight="1">
      <c r="A756" s="175"/>
      <c r="B756" s="175"/>
      <c r="C756" s="175"/>
      <c r="D756" s="176"/>
      <c r="E756" s="175"/>
      <c r="F756" s="177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43"/>
      <c r="V756" s="143"/>
      <c r="W756" s="143"/>
    </row>
    <row r="757" ht="12.75" customHeight="1">
      <c r="A757" s="175"/>
      <c r="B757" s="175"/>
      <c r="C757" s="175"/>
      <c r="D757" s="176"/>
      <c r="E757" s="175"/>
      <c r="F757" s="177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43"/>
      <c r="V757" s="143"/>
      <c r="W757" s="143"/>
    </row>
    <row r="758" ht="12.75" customHeight="1">
      <c r="A758" s="175"/>
      <c r="B758" s="175"/>
      <c r="C758" s="175"/>
      <c r="D758" s="176"/>
      <c r="E758" s="175"/>
      <c r="F758" s="177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43"/>
      <c r="V758" s="143"/>
      <c r="W758" s="143"/>
    </row>
    <row r="759" ht="12.75" customHeight="1">
      <c r="A759" s="175"/>
      <c r="B759" s="175"/>
      <c r="C759" s="175"/>
      <c r="D759" s="176"/>
      <c r="E759" s="175"/>
      <c r="F759" s="177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43"/>
      <c r="V759" s="143"/>
      <c r="W759" s="143"/>
    </row>
    <row r="760" ht="12.75" customHeight="1">
      <c r="A760" s="175"/>
      <c r="B760" s="175"/>
      <c r="C760" s="175"/>
      <c r="D760" s="176"/>
      <c r="E760" s="175"/>
      <c r="F760" s="177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43"/>
      <c r="V760" s="143"/>
      <c r="W760" s="143"/>
    </row>
    <row r="761" ht="12.75" customHeight="1">
      <c r="A761" s="175"/>
      <c r="B761" s="175"/>
      <c r="C761" s="175"/>
      <c r="D761" s="176"/>
      <c r="E761" s="175"/>
      <c r="F761" s="177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43"/>
      <c r="V761" s="143"/>
      <c r="W761" s="143"/>
    </row>
    <row r="762" ht="12.75" customHeight="1">
      <c r="A762" s="175"/>
      <c r="B762" s="175"/>
      <c r="C762" s="175"/>
      <c r="D762" s="176"/>
      <c r="E762" s="175"/>
      <c r="F762" s="177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43"/>
      <c r="V762" s="143"/>
      <c r="W762" s="143"/>
    </row>
    <row r="763" ht="12.75" customHeight="1">
      <c r="A763" s="175"/>
      <c r="B763" s="175"/>
      <c r="C763" s="175"/>
      <c r="D763" s="176"/>
      <c r="E763" s="175"/>
      <c r="F763" s="177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43"/>
      <c r="V763" s="143"/>
      <c r="W763" s="143"/>
    </row>
    <row r="764" ht="12.75" customHeight="1">
      <c r="A764" s="175"/>
      <c r="B764" s="175"/>
      <c r="C764" s="175"/>
      <c r="D764" s="176"/>
      <c r="E764" s="175"/>
      <c r="F764" s="177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43"/>
      <c r="V764" s="143"/>
      <c r="W764" s="143"/>
    </row>
    <row r="765" ht="12.75" customHeight="1">
      <c r="A765" s="175"/>
      <c r="B765" s="175"/>
      <c r="C765" s="175"/>
      <c r="D765" s="176"/>
      <c r="E765" s="175"/>
      <c r="F765" s="177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43"/>
      <c r="V765" s="143"/>
      <c r="W765" s="143"/>
    </row>
    <row r="766" ht="12.75" customHeight="1">
      <c r="A766" s="175"/>
      <c r="B766" s="175"/>
      <c r="C766" s="175"/>
      <c r="D766" s="176"/>
      <c r="E766" s="175"/>
      <c r="F766" s="177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43"/>
      <c r="V766" s="143"/>
      <c r="W766" s="143"/>
    </row>
    <row r="767" ht="12.75" customHeight="1">
      <c r="A767" s="175"/>
      <c r="B767" s="175"/>
      <c r="C767" s="175"/>
      <c r="D767" s="176"/>
      <c r="E767" s="175"/>
      <c r="F767" s="177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43"/>
      <c r="V767" s="143"/>
      <c r="W767" s="143"/>
    </row>
    <row r="768" ht="12.75" customHeight="1">
      <c r="A768" s="175"/>
      <c r="B768" s="175"/>
      <c r="C768" s="175"/>
      <c r="D768" s="176"/>
      <c r="E768" s="175"/>
      <c r="F768" s="177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43"/>
      <c r="V768" s="143"/>
      <c r="W768" s="143"/>
    </row>
    <row r="769" ht="12.75" customHeight="1">
      <c r="A769" s="175"/>
      <c r="B769" s="175"/>
      <c r="C769" s="175"/>
      <c r="D769" s="176"/>
      <c r="E769" s="175"/>
      <c r="F769" s="177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43"/>
      <c r="V769" s="143"/>
      <c r="W769" s="143"/>
    </row>
    <row r="770" ht="12.75" customHeight="1">
      <c r="A770" s="175"/>
      <c r="B770" s="175"/>
      <c r="C770" s="175"/>
      <c r="D770" s="176"/>
      <c r="E770" s="175"/>
      <c r="F770" s="177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43"/>
      <c r="V770" s="143"/>
      <c r="W770" s="143"/>
    </row>
    <row r="771" ht="12.75" customHeight="1">
      <c r="A771" s="175"/>
      <c r="B771" s="175"/>
      <c r="C771" s="175"/>
      <c r="D771" s="176"/>
      <c r="E771" s="175"/>
      <c r="F771" s="177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43"/>
      <c r="V771" s="143"/>
      <c r="W771" s="143"/>
    </row>
    <row r="772" ht="12.75" customHeight="1">
      <c r="A772" s="175"/>
      <c r="B772" s="175"/>
      <c r="C772" s="175"/>
      <c r="D772" s="176"/>
      <c r="E772" s="175"/>
      <c r="F772" s="177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43"/>
      <c r="V772" s="143"/>
      <c r="W772" s="143"/>
    </row>
    <row r="773" ht="12.75" customHeight="1">
      <c r="A773" s="175"/>
      <c r="B773" s="175"/>
      <c r="C773" s="175"/>
      <c r="D773" s="176"/>
      <c r="E773" s="175"/>
      <c r="F773" s="177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43"/>
      <c r="V773" s="143"/>
      <c r="W773" s="143"/>
    </row>
    <row r="774" ht="12.75" customHeight="1">
      <c r="A774" s="175"/>
      <c r="B774" s="175"/>
      <c r="C774" s="175"/>
      <c r="D774" s="176"/>
      <c r="E774" s="175"/>
      <c r="F774" s="177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43"/>
      <c r="V774" s="143"/>
      <c r="W774" s="143"/>
    </row>
    <row r="775" ht="12.75" customHeight="1">
      <c r="A775" s="175"/>
      <c r="B775" s="175"/>
      <c r="C775" s="175"/>
      <c r="D775" s="176"/>
      <c r="E775" s="175"/>
      <c r="F775" s="177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43"/>
      <c r="V775" s="143"/>
      <c r="W775" s="143"/>
    </row>
    <row r="776" ht="12.75" customHeight="1">
      <c r="A776" s="175"/>
      <c r="B776" s="175"/>
      <c r="C776" s="175"/>
      <c r="D776" s="176"/>
      <c r="E776" s="175"/>
      <c r="F776" s="177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43"/>
      <c r="V776" s="143"/>
      <c r="W776" s="143"/>
    </row>
    <row r="777" ht="12.75" customHeight="1">
      <c r="A777" s="175"/>
      <c r="B777" s="175"/>
      <c r="C777" s="175"/>
      <c r="D777" s="176"/>
      <c r="E777" s="175"/>
      <c r="F777" s="177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43"/>
      <c r="V777" s="143"/>
      <c r="W777" s="143"/>
    </row>
    <row r="778" ht="12.75" customHeight="1">
      <c r="A778" s="175"/>
      <c r="B778" s="175"/>
      <c r="C778" s="175"/>
      <c r="D778" s="176"/>
      <c r="E778" s="175"/>
      <c r="F778" s="177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43"/>
      <c r="V778" s="143"/>
      <c r="W778" s="143"/>
    </row>
    <row r="779" ht="12.75" customHeight="1">
      <c r="A779" s="175"/>
      <c r="B779" s="175"/>
      <c r="C779" s="175"/>
      <c r="D779" s="176"/>
      <c r="E779" s="175"/>
      <c r="F779" s="177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43"/>
      <c r="V779" s="143"/>
      <c r="W779" s="143"/>
    </row>
    <row r="780" ht="12.75" customHeight="1">
      <c r="A780" s="175"/>
      <c r="B780" s="175"/>
      <c r="C780" s="175"/>
      <c r="D780" s="176"/>
      <c r="E780" s="175"/>
      <c r="F780" s="177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43"/>
      <c r="V780" s="143"/>
      <c r="W780" s="143"/>
    </row>
    <row r="781" ht="12.75" customHeight="1">
      <c r="A781" s="175"/>
      <c r="B781" s="175"/>
      <c r="C781" s="175"/>
      <c r="D781" s="176"/>
      <c r="E781" s="175"/>
      <c r="F781" s="177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43"/>
      <c r="V781" s="143"/>
      <c r="W781" s="143"/>
    </row>
    <row r="782" ht="12.75" customHeight="1">
      <c r="A782" s="175"/>
      <c r="B782" s="175"/>
      <c r="C782" s="175"/>
      <c r="D782" s="176"/>
      <c r="E782" s="175"/>
      <c r="F782" s="177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43"/>
      <c r="V782" s="143"/>
      <c r="W782" s="143"/>
    </row>
    <row r="783" ht="12.75" customHeight="1">
      <c r="A783" s="175"/>
      <c r="B783" s="175"/>
      <c r="C783" s="175"/>
      <c r="D783" s="176"/>
      <c r="E783" s="175"/>
      <c r="F783" s="177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43"/>
      <c r="V783" s="143"/>
      <c r="W783" s="143"/>
    </row>
    <row r="784" ht="12.75" customHeight="1">
      <c r="A784" s="175"/>
      <c r="B784" s="175"/>
      <c r="C784" s="175"/>
      <c r="D784" s="176"/>
      <c r="E784" s="175"/>
      <c r="F784" s="177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43"/>
      <c r="V784" s="143"/>
      <c r="W784" s="143"/>
    </row>
    <row r="785" ht="12.75" customHeight="1">
      <c r="A785" s="175"/>
      <c r="B785" s="175"/>
      <c r="C785" s="175"/>
      <c r="D785" s="176"/>
      <c r="E785" s="175"/>
      <c r="F785" s="177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43"/>
      <c r="V785" s="143"/>
      <c r="W785" s="143"/>
    </row>
    <row r="786" ht="12.75" customHeight="1">
      <c r="A786" s="175"/>
      <c r="B786" s="175"/>
      <c r="C786" s="175"/>
      <c r="D786" s="176"/>
      <c r="E786" s="175"/>
      <c r="F786" s="177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43"/>
      <c r="V786" s="143"/>
      <c r="W786" s="143"/>
    </row>
    <row r="787" ht="12.75" customHeight="1">
      <c r="A787" s="175"/>
      <c r="B787" s="175"/>
      <c r="C787" s="175"/>
      <c r="D787" s="176"/>
      <c r="E787" s="175"/>
      <c r="F787" s="177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43"/>
      <c r="V787" s="143"/>
      <c r="W787" s="143"/>
    </row>
    <row r="788" ht="12.75" customHeight="1">
      <c r="A788" s="175"/>
      <c r="B788" s="175"/>
      <c r="C788" s="175"/>
      <c r="D788" s="176"/>
      <c r="E788" s="175"/>
      <c r="F788" s="177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43"/>
      <c r="V788" s="143"/>
      <c r="W788" s="143"/>
    </row>
    <row r="789" ht="12.75" customHeight="1">
      <c r="A789" s="175"/>
      <c r="B789" s="175"/>
      <c r="C789" s="175"/>
      <c r="D789" s="176"/>
      <c r="E789" s="175"/>
      <c r="F789" s="177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43"/>
      <c r="V789" s="143"/>
      <c r="W789" s="143"/>
    </row>
    <row r="790" ht="12.75" customHeight="1">
      <c r="A790" s="175"/>
      <c r="B790" s="175"/>
      <c r="C790" s="175"/>
      <c r="D790" s="176"/>
      <c r="E790" s="175"/>
      <c r="F790" s="177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43"/>
      <c r="V790" s="143"/>
      <c r="W790" s="143"/>
    </row>
    <row r="791" ht="12.75" customHeight="1">
      <c r="A791" s="175"/>
      <c r="B791" s="175"/>
      <c r="C791" s="175"/>
      <c r="D791" s="176"/>
      <c r="E791" s="175"/>
      <c r="F791" s="177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43"/>
      <c r="V791" s="143"/>
      <c r="W791" s="143"/>
    </row>
    <row r="792" ht="12.75" customHeight="1">
      <c r="A792" s="175"/>
      <c r="B792" s="175"/>
      <c r="C792" s="175"/>
      <c r="D792" s="176"/>
      <c r="E792" s="175"/>
      <c r="F792" s="177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43"/>
      <c r="V792" s="143"/>
      <c r="W792" s="143"/>
    </row>
    <row r="793" ht="12.75" customHeight="1">
      <c r="A793" s="175"/>
      <c r="B793" s="175"/>
      <c r="C793" s="175"/>
      <c r="D793" s="176"/>
      <c r="E793" s="175"/>
      <c r="F793" s="177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43"/>
      <c r="V793" s="143"/>
      <c r="W793" s="143"/>
    </row>
    <row r="794" ht="12.75" customHeight="1">
      <c r="A794" s="175"/>
      <c r="B794" s="175"/>
      <c r="C794" s="175"/>
      <c r="D794" s="176"/>
      <c r="E794" s="175"/>
      <c r="F794" s="177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43"/>
      <c r="V794" s="143"/>
      <c r="W794" s="143"/>
    </row>
    <row r="795" ht="12.75" customHeight="1">
      <c r="A795" s="175"/>
      <c r="B795" s="175"/>
      <c r="C795" s="175"/>
      <c r="D795" s="176"/>
      <c r="E795" s="175"/>
      <c r="F795" s="177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43"/>
      <c r="V795" s="143"/>
      <c r="W795" s="143"/>
    </row>
    <row r="796" ht="12.75" customHeight="1">
      <c r="A796" s="175"/>
      <c r="B796" s="175"/>
      <c r="C796" s="175"/>
      <c r="D796" s="176"/>
      <c r="E796" s="175"/>
      <c r="F796" s="177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43"/>
      <c r="V796" s="143"/>
      <c r="W796" s="143"/>
    </row>
    <row r="797" ht="12.75" customHeight="1">
      <c r="A797" s="175"/>
      <c r="B797" s="175"/>
      <c r="C797" s="175"/>
      <c r="D797" s="176"/>
      <c r="E797" s="175"/>
      <c r="F797" s="177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43"/>
      <c r="V797" s="143"/>
      <c r="W797" s="143"/>
    </row>
    <row r="798" ht="12.75" customHeight="1">
      <c r="A798" s="175"/>
      <c r="B798" s="175"/>
      <c r="C798" s="175"/>
      <c r="D798" s="176"/>
      <c r="E798" s="175"/>
      <c r="F798" s="177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43"/>
      <c r="V798" s="143"/>
      <c r="W798" s="143"/>
    </row>
    <row r="799" ht="12.75" customHeight="1">
      <c r="A799" s="175"/>
      <c r="B799" s="175"/>
      <c r="C799" s="175"/>
      <c r="D799" s="176"/>
      <c r="E799" s="175"/>
      <c r="F799" s="177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43"/>
      <c r="V799" s="143"/>
      <c r="W799" s="143"/>
    </row>
    <row r="800" ht="12.75" customHeight="1">
      <c r="A800" s="175"/>
      <c r="B800" s="175"/>
      <c r="C800" s="175"/>
      <c r="D800" s="176"/>
      <c r="E800" s="175"/>
      <c r="F800" s="177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43"/>
      <c r="V800" s="143"/>
      <c r="W800" s="143"/>
    </row>
    <row r="801" ht="12.75" customHeight="1">
      <c r="A801" s="175"/>
      <c r="B801" s="175"/>
      <c r="C801" s="175"/>
      <c r="D801" s="176"/>
      <c r="E801" s="175"/>
      <c r="F801" s="177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43"/>
      <c r="V801" s="143"/>
      <c r="W801" s="143"/>
    </row>
    <row r="802" ht="12.75" customHeight="1">
      <c r="A802" s="175"/>
      <c r="B802" s="175"/>
      <c r="C802" s="175"/>
      <c r="D802" s="176"/>
      <c r="E802" s="175"/>
      <c r="F802" s="177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43"/>
      <c r="V802" s="143"/>
      <c r="W802" s="143"/>
    </row>
    <row r="803" ht="12.75" customHeight="1">
      <c r="A803" s="175"/>
      <c r="B803" s="175"/>
      <c r="C803" s="175"/>
      <c r="D803" s="176"/>
      <c r="E803" s="175"/>
      <c r="F803" s="177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43"/>
      <c r="V803" s="143"/>
      <c r="W803" s="143"/>
    </row>
    <row r="804" ht="12.75" customHeight="1">
      <c r="A804" s="175"/>
      <c r="B804" s="175"/>
      <c r="C804" s="175"/>
      <c r="D804" s="176"/>
      <c r="E804" s="175"/>
      <c r="F804" s="177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43"/>
      <c r="V804" s="143"/>
      <c r="W804" s="143"/>
    </row>
    <row r="805" ht="12.75" customHeight="1">
      <c r="A805" s="175"/>
      <c r="B805" s="175"/>
      <c r="C805" s="175"/>
      <c r="D805" s="176"/>
      <c r="E805" s="175"/>
      <c r="F805" s="177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43"/>
      <c r="V805" s="143"/>
      <c r="W805" s="143"/>
    </row>
    <row r="806" ht="12.75" customHeight="1">
      <c r="A806" s="175"/>
      <c r="B806" s="175"/>
      <c r="C806" s="175"/>
      <c r="D806" s="176"/>
      <c r="E806" s="175"/>
      <c r="F806" s="177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43"/>
      <c r="V806" s="143"/>
      <c r="W806" s="143"/>
    </row>
    <row r="807" ht="12.75" customHeight="1">
      <c r="A807" s="175"/>
      <c r="B807" s="175"/>
      <c r="C807" s="175"/>
      <c r="D807" s="176"/>
      <c r="E807" s="175"/>
      <c r="F807" s="177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43"/>
      <c r="V807" s="143"/>
      <c r="W807" s="143"/>
    </row>
    <row r="808" ht="12.75" customHeight="1">
      <c r="A808" s="175"/>
      <c r="B808" s="175"/>
      <c r="C808" s="175"/>
      <c r="D808" s="176"/>
      <c r="E808" s="175"/>
      <c r="F808" s="177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43"/>
      <c r="V808" s="143"/>
      <c r="W808" s="143"/>
    </row>
    <row r="809" ht="12.75" customHeight="1">
      <c r="A809" s="175"/>
      <c r="B809" s="175"/>
      <c r="C809" s="175"/>
      <c r="D809" s="176"/>
      <c r="E809" s="175"/>
      <c r="F809" s="177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43"/>
      <c r="V809" s="143"/>
      <c r="W809" s="143"/>
    </row>
    <row r="810" ht="12.75" customHeight="1">
      <c r="A810" s="175"/>
      <c r="B810" s="175"/>
      <c r="C810" s="175"/>
      <c r="D810" s="176"/>
      <c r="E810" s="175"/>
      <c r="F810" s="177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43"/>
      <c r="V810" s="143"/>
      <c r="W810" s="143"/>
    </row>
    <row r="811" ht="12.75" customHeight="1">
      <c r="A811" s="175"/>
      <c r="B811" s="175"/>
      <c r="C811" s="175"/>
      <c r="D811" s="176"/>
      <c r="E811" s="175"/>
      <c r="F811" s="177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43"/>
      <c r="V811" s="143"/>
      <c r="W811" s="143"/>
    </row>
    <row r="812" ht="12.75" customHeight="1">
      <c r="A812" s="175"/>
      <c r="B812" s="175"/>
      <c r="C812" s="175"/>
      <c r="D812" s="176"/>
      <c r="E812" s="175"/>
      <c r="F812" s="177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43"/>
      <c r="V812" s="143"/>
      <c r="W812" s="143"/>
    </row>
    <row r="813" ht="12.75" customHeight="1">
      <c r="A813" s="175"/>
      <c r="B813" s="175"/>
      <c r="C813" s="175"/>
      <c r="D813" s="176"/>
      <c r="E813" s="175"/>
      <c r="F813" s="177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43"/>
      <c r="V813" s="143"/>
      <c r="W813" s="143"/>
    </row>
    <row r="814" ht="12.75" customHeight="1">
      <c r="A814" s="175"/>
      <c r="B814" s="175"/>
      <c r="C814" s="175"/>
      <c r="D814" s="176"/>
      <c r="E814" s="175"/>
      <c r="F814" s="177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43"/>
      <c r="V814" s="143"/>
      <c r="W814" s="143"/>
    </row>
    <row r="815" ht="12.75" customHeight="1">
      <c r="A815" s="175"/>
      <c r="B815" s="175"/>
      <c r="C815" s="175"/>
      <c r="D815" s="176"/>
      <c r="E815" s="175"/>
      <c r="F815" s="177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43"/>
      <c r="V815" s="143"/>
      <c r="W815" s="143"/>
    </row>
    <row r="816" ht="12.75" customHeight="1">
      <c r="A816" s="175"/>
      <c r="B816" s="175"/>
      <c r="C816" s="175"/>
      <c r="D816" s="176"/>
      <c r="E816" s="175"/>
      <c r="F816" s="177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43"/>
      <c r="V816" s="143"/>
      <c r="W816" s="143"/>
    </row>
    <row r="817" ht="12.75" customHeight="1">
      <c r="A817" s="175"/>
      <c r="B817" s="175"/>
      <c r="C817" s="175"/>
      <c r="D817" s="176"/>
      <c r="E817" s="175"/>
      <c r="F817" s="177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43"/>
      <c r="V817" s="143"/>
      <c r="W817" s="143"/>
    </row>
    <row r="818" ht="12.75" customHeight="1">
      <c r="A818" s="175"/>
      <c r="B818" s="175"/>
      <c r="C818" s="175"/>
      <c r="D818" s="176"/>
      <c r="E818" s="175"/>
      <c r="F818" s="177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43"/>
      <c r="V818" s="143"/>
      <c r="W818" s="143"/>
    </row>
    <row r="819" ht="12.75" customHeight="1">
      <c r="A819" s="175"/>
      <c r="B819" s="175"/>
      <c r="C819" s="175"/>
      <c r="D819" s="176"/>
      <c r="E819" s="175"/>
      <c r="F819" s="177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43"/>
      <c r="V819" s="143"/>
      <c r="W819" s="143"/>
    </row>
    <row r="820" ht="12.75" customHeight="1">
      <c r="A820" s="175"/>
      <c r="B820" s="175"/>
      <c r="C820" s="175"/>
      <c r="D820" s="176"/>
      <c r="E820" s="175"/>
      <c r="F820" s="177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43"/>
      <c r="V820" s="143"/>
      <c r="W820" s="143"/>
    </row>
    <row r="821" ht="12.75" customHeight="1">
      <c r="A821" s="175"/>
      <c r="B821" s="175"/>
      <c r="C821" s="175"/>
      <c r="D821" s="176"/>
      <c r="E821" s="175"/>
      <c r="F821" s="177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43"/>
      <c r="V821" s="143"/>
      <c r="W821" s="143"/>
    </row>
    <row r="822" ht="12.75" customHeight="1">
      <c r="A822" s="175"/>
      <c r="B822" s="175"/>
      <c r="C822" s="175"/>
      <c r="D822" s="176"/>
      <c r="E822" s="175"/>
      <c r="F822" s="177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43"/>
      <c r="V822" s="143"/>
      <c r="W822" s="143"/>
    </row>
    <row r="823" ht="12.75" customHeight="1">
      <c r="A823" s="175"/>
      <c r="B823" s="175"/>
      <c r="C823" s="175"/>
      <c r="D823" s="176"/>
      <c r="E823" s="175"/>
      <c r="F823" s="177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43"/>
      <c r="V823" s="143"/>
      <c r="W823" s="143"/>
    </row>
    <row r="824" ht="12.75" customHeight="1">
      <c r="A824" s="175"/>
      <c r="B824" s="175"/>
      <c r="C824" s="175"/>
      <c r="D824" s="176"/>
      <c r="E824" s="175"/>
      <c r="F824" s="177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43"/>
      <c r="V824" s="143"/>
      <c r="W824" s="143"/>
    </row>
    <row r="825" ht="12.75" customHeight="1">
      <c r="A825" s="175"/>
      <c r="B825" s="175"/>
      <c r="C825" s="175"/>
      <c r="D825" s="176"/>
      <c r="E825" s="175"/>
      <c r="F825" s="177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43"/>
      <c r="V825" s="143"/>
      <c r="W825" s="143"/>
    </row>
    <row r="826" ht="12.75" customHeight="1">
      <c r="A826" s="175"/>
      <c r="B826" s="175"/>
      <c r="C826" s="175"/>
      <c r="D826" s="176"/>
      <c r="E826" s="175"/>
      <c r="F826" s="177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43"/>
      <c r="V826" s="143"/>
      <c r="W826" s="143"/>
    </row>
    <row r="827" ht="12.75" customHeight="1">
      <c r="A827" s="175"/>
      <c r="B827" s="175"/>
      <c r="C827" s="175"/>
      <c r="D827" s="176"/>
      <c r="E827" s="175"/>
      <c r="F827" s="177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43"/>
      <c r="V827" s="143"/>
      <c r="W827" s="143"/>
    </row>
    <row r="828" ht="12.75" customHeight="1">
      <c r="A828" s="175"/>
      <c r="B828" s="175"/>
      <c r="C828" s="175"/>
      <c r="D828" s="176"/>
      <c r="E828" s="175"/>
      <c r="F828" s="177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43"/>
      <c r="V828" s="143"/>
      <c r="W828" s="143"/>
    </row>
    <row r="829" ht="12.75" customHeight="1">
      <c r="A829" s="175"/>
      <c r="B829" s="175"/>
      <c r="C829" s="175"/>
      <c r="D829" s="176"/>
      <c r="E829" s="175"/>
      <c r="F829" s="177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43"/>
      <c r="V829" s="143"/>
      <c r="W829" s="143"/>
    </row>
    <row r="830" ht="12.75" customHeight="1">
      <c r="A830" s="175"/>
      <c r="B830" s="175"/>
      <c r="C830" s="175"/>
      <c r="D830" s="176"/>
      <c r="E830" s="175"/>
      <c r="F830" s="177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43"/>
      <c r="V830" s="143"/>
      <c r="W830" s="143"/>
    </row>
    <row r="831" ht="12.75" customHeight="1">
      <c r="A831" s="175"/>
      <c r="B831" s="175"/>
      <c r="C831" s="175"/>
      <c r="D831" s="176"/>
      <c r="E831" s="175"/>
      <c r="F831" s="177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43"/>
      <c r="V831" s="143"/>
      <c r="W831" s="143"/>
    </row>
    <row r="832" ht="12.75" customHeight="1">
      <c r="A832" s="175"/>
      <c r="B832" s="175"/>
      <c r="C832" s="175"/>
      <c r="D832" s="176"/>
      <c r="E832" s="175"/>
      <c r="F832" s="177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43"/>
      <c r="V832" s="143"/>
      <c r="W832" s="143"/>
    </row>
    <row r="833" ht="12.75" customHeight="1">
      <c r="A833" s="175"/>
      <c r="B833" s="175"/>
      <c r="C833" s="175"/>
      <c r="D833" s="176"/>
      <c r="E833" s="175"/>
      <c r="F833" s="177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43"/>
      <c r="V833" s="143"/>
      <c r="W833" s="143"/>
    </row>
    <row r="834" ht="12.75" customHeight="1">
      <c r="A834" s="175"/>
      <c r="B834" s="175"/>
      <c r="C834" s="175"/>
      <c r="D834" s="176"/>
      <c r="E834" s="175"/>
      <c r="F834" s="177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43"/>
      <c r="V834" s="143"/>
      <c r="W834" s="143"/>
    </row>
    <row r="835" ht="12.75" customHeight="1">
      <c r="A835" s="175"/>
      <c r="B835" s="175"/>
      <c r="C835" s="175"/>
      <c r="D835" s="176"/>
      <c r="E835" s="175"/>
      <c r="F835" s="177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43"/>
      <c r="V835" s="143"/>
      <c r="W835" s="143"/>
    </row>
    <row r="836" ht="12.75" customHeight="1">
      <c r="A836" s="175"/>
      <c r="B836" s="175"/>
      <c r="C836" s="175"/>
      <c r="D836" s="176"/>
      <c r="E836" s="175"/>
      <c r="F836" s="177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43"/>
      <c r="V836" s="143"/>
      <c r="W836" s="143"/>
    </row>
    <row r="837" ht="12.75" customHeight="1">
      <c r="A837" s="175"/>
      <c r="B837" s="175"/>
      <c r="C837" s="175"/>
      <c r="D837" s="176"/>
      <c r="E837" s="175"/>
      <c r="F837" s="177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43"/>
      <c r="V837" s="143"/>
      <c r="W837" s="143"/>
    </row>
    <row r="838" ht="12.75" customHeight="1">
      <c r="A838" s="175"/>
      <c r="B838" s="175"/>
      <c r="C838" s="175"/>
      <c r="D838" s="176"/>
      <c r="E838" s="175"/>
      <c r="F838" s="177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43"/>
      <c r="V838" s="143"/>
      <c r="W838" s="143"/>
    </row>
    <row r="839" ht="12.75" customHeight="1">
      <c r="A839" s="175"/>
      <c r="B839" s="175"/>
      <c r="C839" s="175"/>
      <c r="D839" s="176"/>
      <c r="E839" s="175"/>
      <c r="F839" s="177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43"/>
      <c r="V839" s="143"/>
      <c r="W839" s="143"/>
    </row>
    <row r="840" ht="12.75" customHeight="1">
      <c r="A840" s="175"/>
      <c r="B840" s="175"/>
      <c r="C840" s="175"/>
      <c r="D840" s="176"/>
      <c r="E840" s="175"/>
      <c r="F840" s="177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43"/>
      <c r="V840" s="143"/>
      <c r="W840" s="143"/>
    </row>
    <row r="841" ht="12.75" customHeight="1">
      <c r="A841" s="175"/>
      <c r="B841" s="175"/>
      <c r="C841" s="175"/>
      <c r="D841" s="176"/>
      <c r="E841" s="175"/>
      <c r="F841" s="177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43"/>
      <c r="V841" s="143"/>
      <c r="W841" s="143"/>
    </row>
    <row r="842" ht="12.75" customHeight="1">
      <c r="A842" s="175"/>
      <c r="B842" s="175"/>
      <c r="C842" s="175"/>
      <c r="D842" s="176"/>
      <c r="E842" s="175"/>
      <c r="F842" s="177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43"/>
      <c r="V842" s="143"/>
      <c r="W842" s="143"/>
    </row>
    <row r="843" ht="12.75" customHeight="1">
      <c r="A843" s="175"/>
      <c r="B843" s="175"/>
      <c r="C843" s="175"/>
      <c r="D843" s="176"/>
      <c r="E843" s="175"/>
      <c r="F843" s="177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43"/>
      <c r="V843" s="143"/>
      <c r="W843" s="143"/>
    </row>
    <row r="844" ht="12.75" customHeight="1">
      <c r="A844" s="175"/>
      <c r="B844" s="175"/>
      <c r="C844" s="175"/>
      <c r="D844" s="176"/>
      <c r="E844" s="175"/>
      <c r="F844" s="177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43"/>
      <c r="V844" s="143"/>
      <c r="W844" s="143"/>
    </row>
    <row r="845" ht="12.75" customHeight="1">
      <c r="A845" s="175"/>
      <c r="B845" s="175"/>
      <c r="C845" s="175"/>
      <c r="D845" s="176"/>
      <c r="E845" s="175"/>
      <c r="F845" s="177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43"/>
      <c r="V845" s="143"/>
      <c r="W845" s="143"/>
    </row>
    <row r="846" ht="12.75" customHeight="1">
      <c r="A846" s="175"/>
      <c r="B846" s="175"/>
      <c r="C846" s="175"/>
      <c r="D846" s="176"/>
      <c r="E846" s="175"/>
      <c r="F846" s="177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43"/>
      <c r="V846" s="143"/>
      <c r="W846" s="143"/>
    </row>
    <row r="847" ht="12.75" customHeight="1">
      <c r="A847" s="175"/>
      <c r="B847" s="175"/>
      <c r="C847" s="175"/>
      <c r="D847" s="176"/>
      <c r="E847" s="175"/>
      <c r="F847" s="177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43"/>
      <c r="V847" s="143"/>
      <c r="W847" s="143"/>
    </row>
    <row r="848" ht="12.75" customHeight="1">
      <c r="A848" s="175"/>
      <c r="B848" s="175"/>
      <c r="C848" s="175"/>
      <c r="D848" s="176"/>
      <c r="E848" s="175"/>
      <c r="F848" s="177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43"/>
      <c r="V848" s="143"/>
      <c r="W848" s="143"/>
    </row>
    <row r="849" ht="12.75" customHeight="1">
      <c r="A849" s="175"/>
      <c r="B849" s="175"/>
      <c r="C849" s="175"/>
      <c r="D849" s="176"/>
      <c r="E849" s="175"/>
      <c r="F849" s="177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43"/>
      <c r="V849" s="143"/>
      <c r="W849" s="143"/>
    </row>
    <row r="850" ht="12.75" customHeight="1">
      <c r="A850" s="175"/>
      <c r="B850" s="175"/>
      <c r="C850" s="175"/>
      <c r="D850" s="176"/>
      <c r="E850" s="175"/>
      <c r="F850" s="177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43"/>
      <c r="V850" s="143"/>
      <c r="W850" s="143"/>
    </row>
    <row r="851" ht="12.75" customHeight="1">
      <c r="A851" s="175"/>
      <c r="B851" s="175"/>
      <c r="C851" s="175"/>
      <c r="D851" s="176"/>
      <c r="E851" s="175"/>
      <c r="F851" s="177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43"/>
      <c r="V851" s="143"/>
      <c r="W851" s="143"/>
    </row>
    <row r="852" ht="12.75" customHeight="1">
      <c r="A852" s="175"/>
      <c r="B852" s="175"/>
      <c r="C852" s="175"/>
      <c r="D852" s="176"/>
      <c r="E852" s="175"/>
      <c r="F852" s="177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43"/>
      <c r="V852" s="143"/>
      <c r="W852" s="143"/>
    </row>
    <row r="853" ht="12.75" customHeight="1">
      <c r="A853" s="175"/>
      <c r="B853" s="175"/>
      <c r="C853" s="175"/>
      <c r="D853" s="176"/>
      <c r="E853" s="175"/>
      <c r="F853" s="177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43"/>
      <c r="V853" s="143"/>
      <c r="W853" s="143"/>
    </row>
    <row r="854" ht="12.75" customHeight="1">
      <c r="A854" s="175"/>
      <c r="B854" s="175"/>
      <c r="C854" s="175"/>
      <c r="D854" s="176"/>
      <c r="E854" s="175"/>
      <c r="F854" s="177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43"/>
      <c r="V854" s="143"/>
      <c r="W854" s="143"/>
    </row>
    <row r="855" ht="12.75" customHeight="1">
      <c r="A855" s="175"/>
      <c r="B855" s="175"/>
      <c r="C855" s="175"/>
      <c r="D855" s="176"/>
      <c r="E855" s="175"/>
      <c r="F855" s="177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43"/>
      <c r="V855" s="143"/>
      <c r="W855" s="143"/>
    </row>
    <row r="856" ht="12.75" customHeight="1">
      <c r="A856" s="175"/>
      <c r="B856" s="175"/>
      <c r="C856" s="175"/>
      <c r="D856" s="176"/>
      <c r="E856" s="175"/>
      <c r="F856" s="177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43"/>
      <c r="V856" s="143"/>
      <c r="W856" s="143"/>
    </row>
    <row r="857" ht="12.75" customHeight="1">
      <c r="A857" s="175"/>
      <c r="B857" s="175"/>
      <c r="C857" s="175"/>
      <c r="D857" s="176"/>
      <c r="E857" s="175"/>
      <c r="F857" s="177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43"/>
      <c r="V857" s="143"/>
      <c r="W857" s="143"/>
    </row>
    <row r="858" ht="12.75" customHeight="1">
      <c r="A858" s="175"/>
      <c r="B858" s="175"/>
      <c r="C858" s="175"/>
      <c r="D858" s="176"/>
      <c r="E858" s="175"/>
      <c r="F858" s="177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43"/>
      <c r="V858" s="143"/>
      <c r="W858" s="143"/>
    </row>
    <row r="859" ht="12.75" customHeight="1">
      <c r="A859" s="175"/>
      <c r="B859" s="175"/>
      <c r="C859" s="175"/>
      <c r="D859" s="176"/>
      <c r="E859" s="175"/>
      <c r="F859" s="177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43"/>
      <c r="V859" s="143"/>
      <c r="W859" s="143"/>
    </row>
    <row r="860" ht="12.75" customHeight="1">
      <c r="A860" s="175"/>
      <c r="B860" s="175"/>
      <c r="C860" s="175"/>
      <c r="D860" s="176"/>
      <c r="E860" s="175"/>
      <c r="F860" s="177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43"/>
      <c r="V860" s="143"/>
      <c r="W860" s="143"/>
    </row>
    <row r="861" ht="12.75" customHeight="1">
      <c r="A861" s="175"/>
      <c r="B861" s="175"/>
      <c r="C861" s="175"/>
      <c r="D861" s="176"/>
      <c r="E861" s="175"/>
      <c r="F861" s="177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43"/>
      <c r="V861" s="143"/>
      <c r="W861" s="143"/>
    </row>
    <row r="862" ht="12.75" customHeight="1">
      <c r="A862" s="175"/>
      <c r="B862" s="175"/>
      <c r="C862" s="175"/>
      <c r="D862" s="176"/>
      <c r="E862" s="175"/>
      <c r="F862" s="177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43"/>
      <c r="V862" s="143"/>
      <c r="W862" s="143"/>
    </row>
    <row r="863" ht="12.75" customHeight="1">
      <c r="A863" s="175"/>
      <c r="B863" s="175"/>
      <c r="C863" s="175"/>
      <c r="D863" s="176"/>
      <c r="E863" s="175"/>
      <c r="F863" s="177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43"/>
      <c r="V863" s="143"/>
      <c r="W863" s="143"/>
    </row>
    <row r="864" ht="12.75" customHeight="1">
      <c r="A864" s="175"/>
      <c r="B864" s="175"/>
      <c r="C864" s="175"/>
      <c r="D864" s="176"/>
      <c r="E864" s="175"/>
      <c r="F864" s="177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43"/>
      <c r="V864" s="143"/>
      <c r="W864" s="143"/>
    </row>
    <row r="865" ht="12.75" customHeight="1">
      <c r="A865" s="175"/>
      <c r="B865" s="175"/>
      <c r="C865" s="175"/>
      <c r="D865" s="176"/>
      <c r="E865" s="175"/>
      <c r="F865" s="177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43"/>
      <c r="V865" s="143"/>
      <c r="W865" s="143"/>
    </row>
    <row r="866" ht="12.75" customHeight="1">
      <c r="A866" s="175"/>
      <c r="B866" s="175"/>
      <c r="C866" s="175"/>
      <c r="D866" s="176"/>
      <c r="E866" s="175"/>
      <c r="F866" s="177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43"/>
      <c r="V866" s="143"/>
      <c r="W866" s="143"/>
    </row>
    <row r="867" ht="12.75" customHeight="1">
      <c r="A867" s="175"/>
      <c r="B867" s="175"/>
      <c r="C867" s="175"/>
      <c r="D867" s="176"/>
      <c r="E867" s="175"/>
      <c r="F867" s="177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43"/>
      <c r="V867" s="143"/>
      <c r="W867" s="143"/>
    </row>
    <row r="868" ht="12.75" customHeight="1">
      <c r="A868" s="175"/>
      <c r="B868" s="175"/>
      <c r="C868" s="175"/>
      <c r="D868" s="176"/>
      <c r="E868" s="175"/>
      <c r="F868" s="177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43"/>
      <c r="V868" s="143"/>
      <c r="W868" s="143"/>
    </row>
    <row r="869" ht="12.75" customHeight="1">
      <c r="A869" s="175"/>
      <c r="B869" s="175"/>
      <c r="C869" s="175"/>
      <c r="D869" s="176"/>
      <c r="E869" s="175"/>
      <c r="F869" s="177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43"/>
      <c r="V869" s="143"/>
      <c r="W869" s="143"/>
    </row>
    <row r="870" ht="12.75" customHeight="1">
      <c r="A870" s="175"/>
      <c r="B870" s="175"/>
      <c r="C870" s="175"/>
      <c r="D870" s="176"/>
      <c r="E870" s="175"/>
      <c r="F870" s="177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43"/>
      <c r="V870" s="143"/>
      <c r="W870" s="143"/>
    </row>
    <row r="871" ht="12.75" customHeight="1">
      <c r="A871" s="175"/>
      <c r="B871" s="175"/>
      <c r="C871" s="175"/>
      <c r="D871" s="176"/>
      <c r="E871" s="175"/>
      <c r="F871" s="177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43"/>
      <c r="V871" s="143"/>
      <c r="W871" s="143"/>
    </row>
    <row r="872" ht="12.75" customHeight="1">
      <c r="A872" s="175"/>
      <c r="B872" s="175"/>
      <c r="C872" s="175"/>
      <c r="D872" s="176"/>
      <c r="E872" s="175"/>
      <c r="F872" s="177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43"/>
      <c r="V872" s="143"/>
      <c r="W872" s="143"/>
    </row>
    <row r="873" ht="12.75" customHeight="1">
      <c r="A873" s="175"/>
      <c r="B873" s="175"/>
      <c r="C873" s="175"/>
      <c r="D873" s="176"/>
      <c r="E873" s="175"/>
      <c r="F873" s="177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43"/>
      <c r="V873" s="143"/>
      <c r="W873" s="143"/>
    </row>
    <row r="874" ht="12.75" customHeight="1">
      <c r="A874" s="175"/>
      <c r="B874" s="175"/>
      <c r="C874" s="175"/>
      <c r="D874" s="176"/>
      <c r="E874" s="175"/>
      <c r="F874" s="177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43"/>
      <c r="V874" s="143"/>
      <c r="W874" s="143"/>
    </row>
    <row r="875" ht="12.75" customHeight="1">
      <c r="A875" s="175"/>
      <c r="B875" s="175"/>
      <c r="C875" s="175"/>
      <c r="D875" s="176"/>
      <c r="E875" s="175"/>
      <c r="F875" s="177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43"/>
      <c r="V875" s="143"/>
      <c r="W875" s="143"/>
    </row>
    <row r="876" ht="12.75" customHeight="1">
      <c r="A876" s="175"/>
      <c r="B876" s="175"/>
      <c r="C876" s="175"/>
      <c r="D876" s="176"/>
      <c r="E876" s="175"/>
      <c r="F876" s="177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43"/>
      <c r="V876" s="143"/>
      <c r="W876" s="143"/>
    </row>
    <row r="877" ht="12.75" customHeight="1">
      <c r="A877" s="175"/>
      <c r="B877" s="175"/>
      <c r="C877" s="175"/>
      <c r="D877" s="176"/>
      <c r="E877" s="175"/>
      <c r="F877" s="177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43"/>
      <c r="V877" s="143"/>
      <c r="W877" s="143"/>
    </row>
    <row r="878" ht="12.75" customHeight="1">
      <c r="A878" s="175"/>
      <c r="B878" s="175"/>
      <c r="C878" s="175"/>
      <c r="D878" s="176"/>
      <c r="E878" s="175"/>
      <c r="F878" s="177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43"/>
      <c r="V878" s="143"/>
      <c r="W878" s="143"/>
    </row>
    <row r="879" ht="12.75" customHeight="1">
      <c r="A879" s="175"/>
      <c r="B879" s="175"/>
      <c r="C879" s="175"/>
      <c r="D879" s="176"/>
      <c r="E879" s="175"/>
      <c r="F879" s="177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43"/>
      <c r="V879" s="143"/>
      <c r="W879" s="143"/>
    </row>
    <row r="880" ht="12.75" customHeight="1">
      <c r="A880" s="175"/>
      <c r="B880" s="175"/>
      <c r="C880" s="175"/>
      <c r="D880" s="176"/>
      <c r="E880" s="175"/>
      <c r="F880" s="177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43"/>
      <c r="V880" s="143"/>
      <c r="W880" s="143"/>
    </row>
    <row r="881" ht="12.75" customHeight="1">
      <c r="A881" s="175"/>
      <c r="B881" s="175"/>
      <c r="C881" s="175"/>
      <c r="D881" s="176"/>
      <c r="E881" s="175"/>
      <c r="F881" s="177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43"/>
      <c r="V881" s="143"/>
      <c r="W881" s="143"/>
    </row>
    <row r="882" ht="12.75" customHeight="1">
      <c r="A882" s="175"/>
      <c r="B882" s="175"/>
      <c r="C882" s="175"/>
      <c r="D882" s="176"/>
      <c r="E882" s="175"/>
      <c r="F882" s="177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43"/>
      <c r="V882" s="143"/>
      <c r="W882" s="143"/>
    </row>
    <row r="883" ht="12.75" customHeight="1">
      <c r="A883" s="175"/>
      <c r="B883" s="175"/>
      <c r="C883" s="175"/>
      <c r="D883" s="176"/>
      <c r="E883" s="175"/>
      <c r="F883" s="177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43"/>
      <c r="V883" s="143"/>
      <c r="W883" s="143"/>
    </row>
    <row r="884" ht="12.75" customHeight="1">
      <c r="A884" s="175"/>
      <c r="B884" s="175"/>
      <c r="C884" s="175"/>
      <c r="D884" s="176"/>
      <c r="E884" s="175"/>
      <c r="F884" s="177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43"/>
      <c r="V884" s="143"/>
      <c r="W884" s="143"/>
    </row>
    <row r="885" ht="12.75" customHeight="1">
      <c r="A885" s="175"/>
      <c r="B885" s="175"/>
      <c r="C885" s="175"/>
      <c r="D885" s="176"/>
      <c r="E885" s="175"/>
      <c r="F885" s="177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43"/>
      <c r="V885" s="143"/>
      <c r="W885" s="143"/>
    </row>
    <row r="886" ht="12.75" customHeight="1">
      <c r="A886" s="175"/>
      <c r="B886" s="175"/>
      <c r="C886" s="175"/>
      <c r="D886" s="176"/>
      <c r="E886" s="175"/>
      <c r="F886" s="177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43"/>
      <c r="V886" s="143"/>
      <c r="W886" s="143"/>
    </row>
    <row r="887" ht="12.75" customHeight="1">
      <c r="A887" s="175"/>
      <c r="B887" s="175"/>
      <c r="C887" s="175"/>
      <c r="D887" s="176"/>
      <c r="E887" s="175"/>
      <c r="F887" s="177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43"/>
      <c r="V887" s="143"/>
      <c r="W887" s="143"/>
    </row>
    <row r="888" ht="12.75" customHeight="1">
      <c r="A888" s="175"/>
      <c r="B888" s="175"/>
      <c r="C888" s="175"/>
      <c r="D888" s="176"/>
      <c r="E888" s="175"/>
      <c r="F888" s="177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43"/>
      <c r="V888" s="143"/>
      <c r="W888" s="143"/>
    </row>
    <row r="889" ht="12.75" customHeight="1">
      <c r="A889" s="175"/>
      <c r="B889" s="175"/>
      <c r="C889" s="175"/>
      <c r="D889" s="176"/>
      <c r="E889" s="175"/>
      <c r="F889" s="177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43"/>
      <c r="V889" s="143"/>
      <c r="W889" s="143"/>
    </row>
    <row r="890" ht="12.75" customHeight="1">
      <c r="A890" s="175"/>
      <c r="B890" s="175"/>
      <c r="C890" s="175"/>
      <c r="D890" s="176"/>
      <c r="E890" s="175"/>
      <c r="F890" s="177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43"/>
      <c r="V890" s="143"/>
      <c r="W890" s="143"/>
    </row>
    <row r="891" ht="12.75" customHeight="1">
      <c r="A891" s="175"/>
      <c r="B891" s="175"/>
      <c r="C891" s="175"/>
      <c r="D891" s="176"/>
      <c r="E891" s="175"/>
      <c r="F891" s="177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43"/>
      <c r="V891" s="143"/>
      <c r="W891" s="143"/>
    </row>
    <row r="892" ht="12.75" customHeight="1">
      <c r="A892" s="175"/>
      <c r="B892" s="175"/>
      <c r="C892" s="175"/>
      <c r="D892" s="176"/>
      <c r="E892" s="175"/>
      <c r="F892" s="177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43"/>
      <c r="V892" s="143"/>
      <c r="W892" s="143"/>
    </row>
    <row r="893" ht="12.75" customHeight="1">
      <c r="A893" s="175"/>
      <c r="B893" s="175"/>
      <c r="C893" s="175"/>
      <c r="D893" s="176"/>
      <c r="E893" s="175"/>
      <c r="F893" s="177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43"/>
      <c r="V893" s="143"/>
      <c r="W893" s="143"/>
    </row>
    <row r="894" ht="12.75" customHeight="1">
      <c r="A894" s="175"/>
      <c r="B894" s="175"/>
      <c r="C894" s="175"/>
      <c r="D894" s="176"/>
      <c r="E894" s="175"/>
      <c r="F894" s="177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43"/>
      <c r="V894" s="143"/>
      <c r="W894" s="143"/>
    </row>
    <row r="895" ht="12.75" customHeight="1">
      <c r="A895" s="175"/>
      <c r="B895" s="175"/>
      <c r="C895" s="175"/>
      <c r="D895" s="176"/>
      <c r="E895" s="175"/>
      <c r="F895" s="177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43"/>
      <c r="V895" s="143"/>
      <c r="W895" s="143"/>
    </row>
    <row r="896" ht="12.75" customHeight="1">
      <c r="A896" s="175"/>
      <c r="B896" s="175"/>
      <c r="C896" s="175"/>
      <c r="D896" s="176"/>
      <c r="E896" s="175"/>
      <c r="F896" s="177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43"/>
      <c r="V896" s="143"/>
      <c r="W896" s="143"/>
    </row>
    <row r="897" ht="12.75" customHeight="1">
      <c r="A897" s="175"/>
      <c r="B897" s="175"/>
      <c r="C897" s="175"/>
      <c r="D897" s="176"/>
      <c r="E897" s="175"/>
      <c r="F897" s="177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43"/>
      <c r="V897" s="143"/>
      <c r="W897" s="143"/>
    </row>
    <row r="898" ht="12.75" customHeight="1">
      <c r="A898" s="175"/>
      <c r="B898" s="175"/>
      <c r="C898" s="175"/>
      <c r="D898" s="176"/>
      <c r="E898" s="175"/>
      <c r="F898" s="177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43"/>
      <c r="V898" s="143"/>
      <c r="W898" s="143"/>
    </row>
    <row r="899" ht="12.75" customHeight="1">
      <c r="A899" s="175"/>
      <c r="B899" s="175"/>
      <c r="C899" s="175"/>
      <c r="D899" s="176"/>
      <c r="E899" s="175"/>
      <c r="F899" s="177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43"/>
      <c r="V899" s="143"/>
      <c r="W899" s="143"/>
    </row>
    <row r="900" ht="12.75" customHeight="1">
      <c r="A900" s="175"/>
      <c r="B900" s="175"/>
      <c r="C900" s="175"/>
      <c r="D900" s="176"/>
      <c r="E900" s="175"/>
      <c r="F900" s="177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43"/>
      <c r="V900" s="143"/>
      <c r="W900" s="143"/>
    </row>
    <row r="901" ht="12.75" customHeight="1">
      <c r="A901" s="175"/>
      <c r="B901" s="175"/>
      <c r="C901" s="175"/>
      <c r="D901" s="176"/>
      <c r="E901" s="175"/>
      <c r="F901" s="177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43"/>
      <c r="V901" s="143"/>
      <c r="W901" s="143"/>
    </row>
    <row r="902" ht="12.75" customHeight="1">
      <c r="A902" s="175"/>
      <c r="B902" s="175"/>
      <c r="C902" s="175"/>
      <c r="D902" s="176"/>
      <c r="E902" s="175"/>
      <c r="F902" s="177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43"/>
      <c r="V902" s="143"/>
      <c r="W902" s="143"/>
    </row>
    <row r="903" ht="12.75" customHeight="1">
      <c r="A903" s="175"/>
      <c r="B903" s="175"/>
      <c r="C903" s="175"/>
      <c r="D903" s="176"/>
      <c r="E903" s="175"/>
      <c r="F903" s="177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43"/>
      <c r="V903" s="143"/>
      <c r="W903" s="143"/>
    </row>
    <row r="904" ht="12.75" customHeight="1">
      <c r="A904" s="175"/>
      <c r="B904" s="175"/>
      <c r="C904" s="175"/>
      <c r="D904" s="176"/>
      <c r="E904" s="175"/>
      <c r="F904" s="177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43"/>
      <c r="V904" s="143"/>
      <c r="W904" s="143"/>
    </row>
    <row r="905" ht="12.75" customHeight="1">
      <c r="A905" s="175"/>
      <c r="B905" s="175"/>
      <c r="C905" s="175"/>
      <c r="D905" s="176"/>
      <c r="E905" s="175"/>
      <c r="F905" s="177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43"/>
      <c r="V905" s="143"/>
      <c r="W905" s="143"/>
    </row>
    <row r="906" ht="12.75" customHeight="1">
      <c r="A906" s="175"/>
      <c r="B906" s="175"/>
      <c r="C906" s="175"/>
      <c r="D906" s="176"/>
      <c r="E906" s="175"/>
      <c r="F906" s="177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43"/>
      <c r="V906" s="143"/>
      <c r="W906" s="143"/>
    </row>
    <row r="907" ht="12.75" customHeight="1">
      <c r="A907" s="175"/>
      <c r="B907" s="175"/>
      <c r="C907" s="175"/>
      <c r="D907" s="176"/>
      <c r="E907" s="175"/>
      <c r="F907" s="177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43"/>
      <c r="V907" s="143"/>
      <c r="W907" s="143"/>
    </row>
    <row r="908" ht="12.75" customHeight="1">
      <c r="A908" s="175"/>
      <c r="B908" s="175"/>
      <c r="C908" s="175"/>
      <c r="D908" s="176"/>
      <c r="E908" s="175"/>
      <c r="F908" s="177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43"/>
      <c r="V908" s="143"/>
      <c r="W908" s="143"/>
    </row>
    <row r="909" ht="12.75" customHeight="1">
      <c r="A909" s="175"/>
      <c r="B909" s="175"/>
      <c r="C909" s="175"/>
      <c r="D909" s="176"/>
      <c r="E909" s="175"/>
      <c r="F909" s="177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43"/>
      <c r="V909" s="143"/>
      <c r="W909" s="143"/>
    </row>
    <row r="910" ht="12.75" customHeight="1">
      <c r="A910" s="175"/>
      <c r="B910" s="175"/>
      <c r="C910" s="175"/>
      <c r="D910" s="176"/>
      <c r="E910" s="175"/>
      <c r="F910" s="177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43"/>
      <c r="V910" s="143"/>
      <c r="W910" s="143"/>
    </row>
    <row r="911" ht="12.75" customHeight="1">
      <c r="A911" s="175"/>
      <c r="B911" s="175"/>
      <c r="C911" s="175"/>
      <c r="D911" s="176"/>
      <c r="E911" s="175"/>
      <c r="F911" s="177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43"/>
      <c r="V911" s="143"/>
      <c r="W911" s="143"/>
    </row>
    <row r="912" ht="12.75" customHeight="1">
      <c r="A912" s="175"/>
      <c r="B912" s="175"/>
      <c r="C912" s="175"/>
      <c r="D912" s="176"/>
      <c r="E912" s="175"/>
      <c r="F912" s="177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43"/>
      <c r="V912" s="143"/>
      <c r="W912" s="143"/>
    </row>
    <row r="913" ht="12.75" customHeight="1">
      <c r="A913" s="175"/>
      <c r="B913" s="175"/>
      <c r="C913" s="175"/>
      <c r="D913" s="176"/>
      <c r="E913" s="175"/>
      <c r="F913" s="177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43"/>
      <c r="V913" s="143"/>
      <c r="W913" s="143"/>
    </row>
    <row r="914" ht="12.75" customHeight="1">
      <c r="A914" s="175"/>
      <c r="B914" s="175"/>
      <c r="C914" s="175"/>
      <c r="D914" s="176"/>
      <c r="E914" s="175"/>
      <c r="F914" s="177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43"/>
      <c r="V914" s="143"/>
      <c r="W914" s="143"/>
    </row>
    <row r="915" ht="12.75" customHeight="1">
      <c r="A915" s="175"/>
      <c r="B915" s="175"/>
      <c r="C915" s="175"/>
      <c r="D915" s="176"/>
      <c r="E915" s="175"/>
      <c r="F915" s="177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43"/>
      <c r="V915" s="143"/>
      <c r="W915" s="143"/>
    </row>
    <row r="916" ht="12.75" customHeight="1">
      <c r="A916" s="175"/>
      <c r="B916" s="175"/>
      <c r="C916" s="175"/>
      <c r="D916" s="176"/>
      <c r="E916" s="175"/>
      <c r="F916" s="177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43"/>
      <c r="V916" s="143"/>
      <c r="W916" s="143"/>
    </row>
    <row r="917" ht="12.75" customHeight="1">
      <c r="A917" s="175"/>
      <c r="B917" s="175"/>
      <c r="C917" s="175"/>
      <c r="D917" s="176"/>
      <c r="E917" s="175"/>
      <c r="F917" s="177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43"/>
      <c r="V917" s="143"/>
      <c r="W917" s="143"/>
    </row>
    <row r="918" ht="12.75" customHeight="1">
      <c r="A918" s="175"/>
      <c r="B918" s="175"/>
      <c r="C918" s="175"/>
      <c r="D918" s="176"/>
      <c r="E918" s="175"/>
      <c r="F918" s="177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43"/>
      <c r="V918" s="143"/>
      <c r="W918" s="143"/>
    </row>
    <row r="919" ht="12.75" customHeight="1">
      <c r="A919" s="175"/>
      <c r="B919" s="175"/>
      <c r="C919" s="175"/>
      <c r="D919" s="176"/>
      <c r="E919" s="175"/>
      <c r="F919" s="177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43"/>
      <c r="V919" s="143"/>
      <c r="W919" s="143"/>
    </row>
    <row r="920" ht="12.75" customHeight="1">
      <c r="A920" s="175"/>
      <c r="B920" s="175"/>
      <c r="C920" s="175"/>
      <c r="D920" s="176"/>
      <c r="E920" s="175"/>
      <c r="F920" s="177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43"/>
      <c r="V920" s="143"/>
      <c r="W920" s="143"/>
    </row>
    <row r="921" ht="12.75" customHeight="1">
      <c r="A921" s="175"/>
      <c r="B921" s="175"/>
      <c r="C921" s="175"/>
      <c r="D921" s="176"/>
      <c r="E921" s="175"/>
      <c r="F921" s="177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43"/>
      <c r="V921" s="143"/>
      <c r="W921" s="143"/>
    </row>
    <row r="922" ht="12.75" customHeight="1">
      <c r="A922" s="175"/>
      <c r="B922" s="175"/>
      <c r="C922" s="175"/>
      <c r="D922" s="176"/>
      <c r="E922" s="175"/>
      <c r="F922" s="177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43"/>
      <c r="V922" s="143"/>
      <c r="W922" s="143"/>
    </row>
    <row r="923" ht="12.75" customHeight="1">
      <c r="A923" s="175"/>
      <c r="B923" s="175"/>
      <c r="C923" s="175"/>
      <c r="D923" s="176"/>
      <c r="E923" s="175"/>
      <c r="F923" s="177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43"/>
      <c r="V923" s="143"/>
      <c r="W923" s="143"/>
    </row>
    <row r="924" ht="12.75" customHeight="1">
      <c r="A924" s="175"/>
      <c r="B924" s="175"/>
      <c r="C924" s="175"/>
      <c r="D924" s="176"/>
      <c r="E924" s="175"/>
      <c r="F924" s="177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43"/>
      <c r="V924" s="143"/>
      <c r="W924" s="143"/>
    </row>
    <row r="925" ht="12.75" customHeight="1">
      <c r="A925" s="175"/>
      <c r="B925" s="175"/>
      <c r="C925" s="175"/>
      <c r="D925" s="176"/>
      <c r="E925" s="175"/>
      <c r="F925" s="177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43"/>
      <c r="V925" s="143"/>
      <c r="W925" s="143"/>
    </row>
    <row r="926" ht="12.75" customHeight="1">
      <c r="A926" s="175"/>
      <c r="B926" s="175"/>
      <c r="C926" s="175"/>
      <c r="D926" s="176"/>
      <c r="E926" s="175"/>
      <c r="F926" s="177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43"/>
      <c r="V926" s="143"/>
      <c r="W926" s="143"/>
    </row>
    <row r="927" ht="12.75" customHeight="1">
      <c r="A927" s="175"/>
      <c r="B927" s="175"/>
      <c r="C927" s="175"/>
      <c r="D927" s="176"/>
      <c r="E927" s="175"/>
      <c r="F927" s="177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43"/>
      <c r="V927" s="143"/>
      <c r="W927" s="143"/>
    </row>
    <row r="928" ht="12.75" customHeight="1">
      <c r="A928" s="175"/>
      <c r="B928" s="175"/>
      <c r="C928" s="175"/>
      <c r="D928" s="176"/>
      <c r="E928" s="175"/>
      <c r="F928" s="177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43"/>
      <c r="V928" s="143"/>
      <c r="W928" s="143"/>
    </row>
    <row r="929" ht="12.75" customHeight="1">
      <c r="A929" s="175"/>
      <c r="B929" s="175"/>
      <c r="C929" s="175"/>
      <c r="D929" s="176"/>
      <c r="E929" s="175"/>
      <c r="F929" s="177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43"/>
      <c r="V929" s="143"/>
      <c r="W929" s="143"/>
    </row>
    <row r="930" ht="12.75" customHeight="1">
      <c r="A930" s="175"/>
      <c r="B930" s="175"/>
      <c r="C930" s="175"/>
      <c r="D930" s="176"/>
      <c r="E930" s="175"/>
      <c r="F930" s="177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43"/>
      <c r="V930" s="143"/>
      <c r="W930" s="143"/>
    </row>
    <row r="931" ht="12.75" customHeight="1">
      <c r="A931" s="175"/>
      <c r="B931" s="175"/>
      <c r="C931" s="175"/>
      <c r="D931" s="176"/>
      <c r="E931" s="175"/>
      <c r="F931" s="177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43"/>
      <c r="V931" s="143"/>
      <c r="W931" s="143"/>
    </row>
    <row r="932" ht="12.75" customHeight="1">
      <c r="A932" s="175"/>
      <c r="B932" s="175"/>
      <c r="C932" s="175"/>
      <c r="D932" s="176"/>
      <c r="E932" s="175"/>
      <c r="F932" s="177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43"/>
      <c r="V932" s="143"/>
      <c r="W932" s="143"/>
    </row>
    <row r="933" ht="12.75" customHeight="1">
      <c r="A933" s="175"/>
      <c r="B933" s="175"/>
      <c r="C933" s="175"/>
      <c r="D933" s="176"/>
      <c r="E933" s="175"/>
      <c r="F933" s="177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43"/>
      <c r="V933" s="143"/>
      <c r="W933" s="143"/>
    </row>
    <row r="934" ht="12.75" customHeight="1">
      <c r="A934" s="175"/>
      <c r="B934" s="175"/>
      <c r="C934" s="175"/>
      <c r="D934" s="176"/>
      <c r="E934" s="175"/>
      <c r="F934" s="177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43"/>
      <c r="V934" s="143"/>
      <c r="W934" s="143"/>
    </row>
    <row r="935" ht="12.75" customHeight="1">
      <c r="A935" s="175"/>
      <c r="B935" s="175"/>
      <c r="C935" s="175"/>
      <c r="D935" s="176"/>
      <c r="E935" s="175"/>
      <c r="F935" s="177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43"/>
      <c r="V935" s="143"/>
      <c r="W935" s="143"/>
    </row>
    <row r="936" ht="12.75" customHeight="1">
      <c r="A936" s="175"/>
      <c r="B936" s="175"/>
      <c r="C936" s="175"/>
      <c r="D936" s="176"/>
      <c r="E936" s="175"/>
      <c r="F936" s="177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43"/>
      <c r="V936" s="143"/>
      <c r="W936" s="143"/>
    </row>
    <row r="937" ht="12.75" customHeight="1">
      <c r="A937" s="175"/>
      <c r="B937" s="175"/>
      <c r="C937" s="175"/>
      <c r="D937" s="176"/>
      <c r="E937" s="175"/>
      <c r="F937" s="177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43"/>
      <c r="V937" s="143"/>
      <c r="W937" s="143"/>
    </row>
    <row r="938" ht="12.75" customHeight="1">
      <c r="A938" s="175"/>
      <c r="B938" s="175"/>
      <c r="C938" s="175"/>
      <c r="D938" s="176"/>
      <c r="E938" s="175"/>
      <c r="F938" s="177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43"/>
      <c r="V938" s="143"/>
      <c r="W938" s="143"/>
    </row>
    <row r="939" ht="12.75" customHeight="1">
      <c r="A939" s="175"/>
      <c r="B939" s="175"/>
      <c r="C939" s="175"/>
      <c r="D939" s="176"/>
      <c r="E939" s="175"/>
      <c r="F939" s="177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43"/>
      <c r="V939" s="143"/>
      <c r="W939" s="143"/>
    </row>
    <row r="940" ht="12.75" customHeight="1">
      <c r="A940" s="175"/>
      <c r="B940" s="175"/>
      <c r="C940" s="175"/>
      <c r="D940" s="176"/>
      <c r="E940" s="175"/>
      <c r="F940" s="177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43"/>
      <c r="V940" s="143"/>
      <c r="W940" s="143"/>
    </row>
    <row r="941" ht="12.75" customHeight="1">
      <c r="A941" s="175"/>
      <c r="B941" s="175"/>
      <c r="C941" s="175"/>
      <c r="D941" s="176"/>
      <c r="E941" s="175"/>
      <c r="F941" s="177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43"/>
      <c r="V941" s="143"/>
      <c r="W941" s="143"/>
    </row>
    <row r="942" ht="12.75" customHeight="1">
      <c r="A942" s="175"/>
      <c r="B942" s="175"/>
      <c r="C942" s="175"/>
      <c r="D942" s="176"/>
      <c r="E942" s="175"/>
      <c r="F942" s="177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43"/>
      <c r="V942" s="143"/>
      <c r="W942" s="143"/>
    </row>
    <row r="943" ht="12.75" customHeight="1">
      <c r="A943" s="175"/>
      <c r="B943" s="175"/>
      <c r="C943" s="175"/>
      <c r="D943" s="176"/>
      <c r="E943" s="175"/>
      <c r="F943" s="177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43"/>
      <c r="V943" s="143"/>
      <c r="W943" s="143"/>
    </row>
    <row r="944" ht="12.75" customHeight="1">
      <c r="A944" s="175"/>
      <c r="B944" s="175"/>
      <c r="C944" s="175"/>
      <c r="D944" s="176"/>
      <c r="E944" s="175"/>
      <c r="F944" s="177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43"/>
      <c r="V944" s="143"/>
      <c r="W944" s="143"/>
    </row>
    <row r="945" ht="12.75" customHeight="1">
      <c r="A945" s="175"/>
      <c r="B945" s="175"/>
      <c r="C945" s="175"/>
      <c r="D945" s="176"/>
      <c r="E945" s="175"/>
      <c r="F945" s="177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43"/>
      <c r="V945" s="143"/>
      <c r="W945" s="143"/>
    </row>
    <row r="946" ht="12.75" customHeight="1">
      <c r="A946" s="175"/>
      <c r="B946" s="175"/>
      <c r="C946" s="175"/>
      <c r="D946" s="176"/>
      <c r="E946" s="175"/>
      <c r="F946" s="177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43"/>
      <c r="V946" s="143"/>
      <c r="W946" s="143"/>
    </row>
    <row r="947" ht="12.75" customHeight="1">
      <c r="A947" s="175"/>
      <c r="B947" s="175"/>
      <c r="C947" s="175"/>
      <c r="D947" s="176"/>
      <c r="E947" s="175"/>
      <c r="F947" s="177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43"/>
      <c r="V947" s="143"/>
      <c r="W947" s="143"/>
    </row>
    <row r="948" ht="12.75" customHeight="1">
      <c r="A948" s="175"/>
      <c r="B948" s="175"/>
      <c r="C948" s="175"/>
      <c r="D948" s="176"/>
      <c r="E948" s="175"/>
      <c r="F948" s="177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43"/>
      <c r="V948" s="143"/>
      <c r="W948" s="143"/>
    </row>
    <row r="949" ht="12.75" customHeight="1">
      <c r="A949" s="175"/>
      <c r="B949" s="175"/>
      <c r="C949" s="175"/>
      <c r="D949" s="176"/>
      <c r="E949" s="175"/>
      <c r="F949" s="177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43"/>
      <c r="V949" s="143"/>
      <c r="W949" s="143"/>
    </row>
    <row r="950" ht="12.75" customHeight="1">
      <c r="A950" s="175"/>
      <c r="B950" s="175"/>
      <c r="C950" s="175"/>
      <c r="D950" s="176"/>
      <c r="E950" s="175"/>
      <c r="F950" s="177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43"/>
      <c r="V950" s="143"/>
      <c r="W950" s="143"/>
    </row>
    <row r="951" ht="12.75" customHeight="1">
      <c r="A951" s="175"/>
      <c r="B951" s="175"/>
      <c r="C951" s="175"/>
      <c r="D951" s="176"/>
      <c r="E951" s="175"/>
      <c r="F951" s="177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43"/>
      <c r="V951" s="143"/>
      <c r="W951" s="143"/>
    </row>
    <row r="952" ht="12.75" customHeight="1">
      <c r="A952" s="175"/>
      <c r="B952" s="175"/>
      <c r="C952" s="175"/>
      <c r="D952" s="176"/>
      <c r="E952" s="175"/>
      <c r="F952" s="177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43"/>
      <c r="V952" s="143"/>
      <c r="W952" s="143"/>
    </row>
    <row r="953" ht="12.75" customHeight="1">
      <c r="A953" s="175"/>
      <c r="B953" s="175"/>
      <c r="C953" s="175"/>
      <c r="D953" s="176"/>
      <c r="E953" s="175"/>
      <c r="F953" s="177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43"/>
      <c r="V953" s="143"/>
      <c r="W953" s="143"/>
    </row>
    <row r="954" ht="12.75" customHeight="1">
      <c r="A954" s="175"/>
      <c r="B954" s="175"/>
      <c r="C954" s="175"/>
      <c r="D954" s="176"/>
      <c r="E954" s="175"/>
      <c r="F954" s="177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43"/>
      <c r="V954" s="143"/>
      <c r="W954" s="143"/>
    </row>
    <row r="955" ht="12.75" customHeight="1">
      <c r="A955" s="175"/>
      <c r="B955" s="175"/>
      <c r="C955" s="175"/>
      <c r="D955" s="176"/>
      <c r="E955" s="175"/>
      <c r="F955" s="177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43"/>
      <c r="V955" s="143"/>
      <c r="W955" s="143"/>
    </row>
    <row r="956" ht="12.75" customHeight="1">
      <c r="A956" s="175"/>
      <c r="B956" s="175"/>
      <c r="C956" s="175"/>
      <c r="D956" s="176"/>
      <c r="E956" s="175"/>
      <c r="F956" s="177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43"/>
      <c r="V956" s="143"/>
      <c r="W956" s="143"/>
    </row>
    <row r="957" ht="12.75" customHeight="1">
      <c r="A957" s="175"/>
      <c r="B957" s="175"/>
      <c r="C957" s="175"/>
      <c r="D957" s="176"/>
      <c r="E957" s="175"/>
      <c r="F957" s="177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43"/>
      <c r="V957" s="143"/>
      <c r="W957" s="143"/>
    </row>
    <row r="958" ht="12.75" customHeight="1">
      <c r="A958" s="175"/>
      <c r="B958" s="175"/>
      <c r="C958" s="175"/>
      <c r="D958" s="176"/>
      <c r="E958" s="175"/>
      <c r="F958" s="177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43"/>
      <c r="V958" s="143"/>
      <c r="W958" s="143"/>
    </row>
    <row r="959" ht="12.75" customHeight="1">
      <c r="A959" s="175"/>
      <c r="B959" s="175"/>
      <c r="C959" s="175"/>
      <c r="D959" s="176"/>
      <c r="E959" s="175"/>
      <c r="F959" s="177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43"/>
      <c r="V959" s="143"/>
      <c r="W959" s="143"/>
    </row>
    <row r="960" ht="12.75" customHeight="1">
      <c r="A960" s="175"/>
      <c r="B960" s="175"/>
      <c r="C960" s="175"/>
      <c r="D960" s="176"/>
      <c r="E960" s="175"/>
      <c r="F960" s="177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43"/>
      <c r="V960" s="143"/>
      <c r="W960" s="143"/>
    </row>
    <row r="961" ht="12.75" customHeight="1">
      <c r="A961" s="175"/>
      <c r="B961" s="175"/>
      <c r="C961" s="175"/>
      <c r="D961" s="176"/>
      <c r="E961" s="175"/>
      <c r="F961" s="177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43"/>
      <c r="V961" s="143"/>
      <c r="W961" s="143"/>
    </row>
    <row r="962" ht="12.75" customHeight="1">
      <c r="A962" s="175"/>
      <c r="B962" s="175"/>
      <c r="C962" s="175"/>
      <c r="D962" s="176"/>
      <c r="E962" s="175"/>
      <c r="F962" s="177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43"/>
      <c r="V962" s="143"/>
      <c r="W962" s="143"/>
    </row>
    <row r="963" ht="12.75" customHeight="1">
      <c r="A963" s="175"/>
      <c r="B963" s="175"/>
      <c r="C963" s="175"/>
      <c r="D963" s="176"/>
      <c r="E963" s="175"/>
      <c r="F963" s="177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43"/>
      <c r="V963" s="143"/>
      <c r="W963" s="143"/>
    </row>
    <row r="964" ht="12.75" customHeight="1">
      <c r="A964" s="175"/>
      <c r="B964" s="175"/>
      <c r="C964" s="175"/>
      <c r="D964" s="176"/>
      <c r="E964" s="175"/>
      <c r="F964" s="177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43"/>
      <c r="V964" s="143"/>
      <c r="W964" s="143"/>
    </row>
    <row r="965" ht="12.75" customHeight="1">
      <c r="A965" s="175"/>
      <c r="B965" s="175"/>
      <c r="C965" s="175"/>
      <c r="D965" s="176"/>
      <c r="E965" s="175"/>
      <c r="F965" s="177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43"/>
      <c r="V965" s="143"/>
      <c r="W965" s="143"/>
    </row>
    <row r="966" ht="12.75" customHeight="1">
      <c r="A966" s="175"/>
      <c r="B966" s="175"/>
      <c r="C966" s="175"/>
      <c r="D966" s="176"/>
      <c r="E966" s="175"/>
      <c r="F966" s="177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43"/>
      <c r="V966" s="143"/>
      <c r="W966" s="143"/>
    </row>
    <row r="967" ht="12.75" customHeight="1">
      <c r="A967" s="175"/>
      <c r="B967" s="175"/>
      <c r="C967" s="175"/>
      <c r="D967" s="176"/>
      <c r="E967" s="175"/>
      <c r="F967" s="177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43"/>
      <c r="V967" s="143"/>
      <c r="W967" s="143"/>
    </row>
    <row r="968" ht="12.75" customHeight="1">
      <c r="A968" s="175"/>
      <c r="B968" s="175"/>
      <c r="C968" s="175"/>
      <c r="D968" s="176"/>
      <c r="E968" s="175"/>
      <c r="F968" s="177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43"/>
      <c r="V968" s="143"/>
      <c r="W968" s="143"/>
    </row>
    <row r="969" ht="12.75" customHeight="1">
      <c r="A969" s="175"/>
      <c r="B969" s="175"/>
      <c r="C969" s="175"/>
      <c r="D969" s="176"/>
      <c r="E969" s="175"/>
      <c r="F969" s="177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43"/>
      <c r="V969" s="143"/>
      <c r="W969" s="143"/>
    </row>
    <row r="970" ht="12.75" customHeight="1">
      <c r="A970" s="175"/>
      <c r="B970" s="175"/>
      <c r="C970" s="175"/>
      <c r="D970" s="176"/>
      <c r="E970" s="175"/>
      <c r="F970" s="177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43"/>
      <c r="V970" s="143"/>
      <c r="W970" s="143"/>
    </row>
    <row r="971" ht="12.75" customHeight="1">
      <c r="A971" s="175"/>
      <c r="B971" s="175"/>
      <c r="C971" s="175"/>
      <c r="D971" s="176"/>
      <c r="E971" s="175"/>
      <c r="F971" s="177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43"/>
      <c r="V971" s="143"/>
      <c r="W971" s="143"/>
    </row>
    <row r="972" ht="12.75" customHeight="1">
      <c r="A972" s="175"/>
      <c r="B972" s="175"/>
      <c r="C972" s="175"/>
      <c r="D972" s="176"/>
      <c r="E972" s="175"/>
      <c r="F972" s="177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43"/>
      <c r="V972" s="143"/>
      <c r="W972" s="143"/>
    </row>
    <row r="973" ht="12.75" customHeight="1">
      <c r="A973" s="175"/>
      <c r="B973" s="175"/>
      <c r="C973" s="175"/>
      <c r="D973" s="176"/>
      <c r="E973" s="175"/>
      <c r="F973" s="177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43"/>
      <c r="V973" s="143"/>
      <c r="W973" s="143"/>
    </row>
    <row r="974" ht="12.75" customHeight="1">
      <c r="A974" s="175"/>
      <c r="B974" s="175"/>
      <c r="C974" s="175"/>
      <c r="D974" s="176"/>
      <c r="E974" s="175"/>
      <c r="F974" s="177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43"/>
      <c r="V974" s="143"/>
      <c r="W974" s="143"/>
    </row>
    <row r="975" ht="12.75" customHeight="1">
      <c r="A975" s="175"/>
      <c r="B975" s="175"/>
      <c r="C975" s="175"/>
      <c r="D975" s="176"/>
      <c r="E975" s="175"/>
      <c r="F975" s="177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43"/>
      <c r="V975" s="143"/>
      <c r="W975" s="143"/>
    </row>
    <row r="976" ht="12.75" customHeight="1">
      <c r="A976" s="175"/>
      <c r="B976" s="175"/>
      <c r="C976" s="175"/>
      <c r="D976" s="176"/>
      <c r="E976" s="175"/>
      <c r="F976" s="177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43"/>
      <c r="V976" s="143"/>
      <c r="W976" s="143"/>
    </row>
    <row r="977" ht="12.75" customHeight="1">
      <c r="A977" s="175"/>
      <c r="B977" s="175"/>
      <c r="C977" s="175"/>
      <c r="D977" s="176"/>
      <c r="E977" s="175"/>
      <c r="F977" s="177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43"/>
      <c r="V977" s="143"/>
      <c r="W977" s="143"/>
    </row>
    <row r="978" ht="12.75" customHeight="1">
      <c r="A978" s="175"/>
      <c r="B978" s="175"/>
      <c r="C978" s="175"/>
      <c r="D978" s="176"/>
      <c r="E978" s="175"/>
      <c r="F978" s="177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43"/>
      <c r="V978" s="143"/>
      <c r="W978" s="143"/>
    </row>
    <row r="979" ht="12.75" customHeight="1">
      <c r="A979" s="175"/>
      <c r="B979" s="175"/>
      <c r="C979" s="175"/>
      <c r="D979" s="176"/>
      <c r="E979" s="175"/>
      <c r="F979" s="177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43"/>
      <c r="V979" s="143"/>
      <c r="W979" s="143"/>
    </row>
    <row r="980" ht="12.75" customHeight="1">
      <c r="A980" s="175"/>
      <c r="B980" s="175"/>
      <c r="C980" s="175"/>
      <c r="D980" s="176"/>
      <c r="E980" s="175"/>
      <c r="F980" s="177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43"/>
      <c r="V980" s="143"/>
      <c r="W980" s="143"/>
    </row>
    <row r="981" ht="12.75" customHeight="1">
      <c r="A981" s="175"/>
      <c r="B981" s="175"/>
      <c r="C981" s="175"/>
      <c r="D981" s="176"/>
      <c r="E981" s="175"/>
      <c r="F981" s="177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43"/>
      <c r="V981" s="143"/>
      <c r="W981" s="143"/>
    </row>
    <row r="982" ht="12.75" customHeight="1">
      <c r="A982" s="175"/>
      <c r="B982" s="175"/>
      <c r="C982" s="175"/>
      <c r="D982" s="176"/>
      <c r="E982" s="175"/>
      <c r="F982" s="177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43"/>
      <c r="V982" s="143"/>
      <c r="W982" s="143"/>
    </row>
    <row r="983" ht="12.75" customHeight="1">
      <c r="A983" s="175"/>
      <c r="B983" s="175"/>
      <c r="C983" s="175"/>
      <c r="D983" s="176"/>
      <c r="E983" s="175"/>
      <c r="F983" s="177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43"/>
      <c r="V983" s="143"/>
      <c r="W983" s="143"/>
    </row>
    <row r="984" ht="12.75" customHeight="1">
      <c r="A984" s="175"/>
      <c r="B984" s="175"/>
      <c r="C984" s="175"/>
      <c r="D984" s="176"/>
      <c r="E984" s="175"/>
      <c r="F984" s="177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43"/>
      <c r="V984" s="143"/>
      <c r="W984" s="143"/>
    </row>
    <row r="985" ht="12.75" customHeight="1">
      <c r="A985" s="175"/>
      <c r="B985" s="175"/>
      <c r="C985" s="175"/>
      <c r="D985" s="176"/>
      <c r="E985" s="175"/>
      <c r="F985" s="177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43"/>
      <c r="V985" s="143"/>
      <c r="W985" s="143"/>
    </row>
    <row r="986" ht="12.75" customHeight="1">
      <c r="A986" s="175"/>
      <c r="B986" s="175"/>
      <c r="C986" s="175"/>
      <c r="D986" s="176"/>
      <c r="E986" s="175"/>
      <c r="F986" s="177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43"/>
      <c r="V986" s="143"/>
      <c r="W986" s="143"/>
    </row>
    <row r="987" ht="12.75" customHeight="1">
      <c r="A987" s="175"/>
      <c r="B987" s="175"/>
      <c r="C987" s="175"/>
      <c r="D987" s="176"/>
      <c r="E987" s="175"/>
      <c r="F987" s="177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43"/>
      <c r="V987" s="143"/>
      <c r="W987" s="143"/>
    </row>
    <row r="988" ht="12.75" customHeight="1">
      <c r="A988" s="175"/>
      <c r="B988" s="175"/>
      <c r="C988" s="175"/>
      <c r="D988" s="176"/>
      <c r="E988" s="175"/>
      <c r="F988" s="177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43"/>
      <c r="V988" s="143"/>
      <c r="W988" s="143"/>
    </row>
    <row r="989" ht="12.75" customHeight="1">
      <c r="A989" s="175"/>
      <c r="B989" s="175"/>
      <c r="C989" s="175"/>
      <c r="D989" s="176"/>
      <c r="E989" s="175"/>
      <c r="F989" s="177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43"/>
      <c r="V989" s="143"/>
      <c r="W989" s="143"/>
    </row>
    <row r="990" ht="12.75" customHeight="1">
      <c r="A990" s="175"/>
      <c r="B990" s="175"/>
      <c r="C990" s="175"/>
      <c r="D990" s="176"/>
      <c r="E990" s="175"/>
      <c r="F990" s="177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43"/>
      <c r="V990" s="143"/>
      <c r="W990" s="143"/>
    </row>
    <row r="991" ht="12.75" customHeight="1">
      <c r="A991" s="175"/>
      <c r="B991" s="175"/>
      <c r="C991" s="175"/>
      <c r="D991" s="176"/>
      <c r="E991" s="175"/>
      <c r="F991" s="177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43"/>
      <c r="V991" s="143"/>
      <c r="W991" s="143"/>
    </row>
    <row r="992" ht="12.75" customHeight="1">
      <c r="A992" s="175"/>
      <c r="B992" s="175"/>
      <c r="C992" s="175"/>
      <c r="D992" s="176"/>
      <c r="E992" s="175"/>
      <c r="F992" s="177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43"/>
      <c r="V992" s="143"/>
      <c r="W992" s="143"/>
    </row>
    <row r="993" ht="12.75" customHeight="1">
      <c r="A993" s="175"/>
      <c r="B993" s="175"/>
      <c r="C993" s="175"/>
      <c r="D993" s="176"/>
      <c r="E993" s="175"/>
      <c r="F993" s="177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43"/>
      <c r="V993" s="143"/>
      <c r="W993" s="143"/>
    </row>
    <row r="994" ht="12.75" customHeight="1">
      <c r="A994" s="175"/>
      <c r="B994" s="175"/>
      <c r="C994" s="175"/>
      <c r="D994" s="176"/>
      <c r="E994" s="175"/>
      <c r="F994" s="177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43"/>
      <c r="V994" s="143"/>
      <c r="W994" s="143"/>
    </row>
    <row r="995" ht="12.75" customHeight="1">
      <c r="A995" s="175"/>
      <c r="B995" s="175"/>
      <c r="C995" s="175"/>
      <c r="D995" s="176"/>
      <c r="E995" s="175"/>
      <c r="F995" s="177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43"/>
      <c r="V995" s="143"/>
      <c r="W995" s="143"/>
    </row>
    <row r="996" ht="12.75" customHeight="1">
      <c r="A996" s="175"/>
      <c r="B996" s="175"/>
      <c r="C996" s="175"/>
      <c r="D996" s="176"/>
      <c r="E996" s="175"/>
      <c r="F996" s="177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43"/>
      <c r="V996" s="143"/>
      <c r="W996" s="143"/>
    </row>
    <row r="997" ht="12.75" customHeight="1">
      <c r="A997" s="175"/>
      <c r="B997" s="175"/>
      <c r="C997" s="175"/>
      <c r="D997" s="176"/>
      <c r="E997" s="175"/>
      <c r="F997" s="177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43"/>
      <c r="V997" s="143"/>
      <c r="W997" s="143"/>
    </row>
    <row r="998" ht="12.75" customHeight="1">
      <c r="A998" s="175"/>
      <c r="B998" s="175"/>
      <c r="C998" s="175"/>
      <c r="D998" s="176"/>
      <c r="E998" s="175"/>
      <c r="F998" s="177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43"/>
      <c r="V998" s="143"/>
      <c r="W998" s="143"/>
    </row>
    <row r="999" ht="12.75" customHeight="1">
      <c r="A999" s="175"/>
      <c r="B999" s="175"/>
      <c r="C999" s="175"/>
      <c r="D999" s="176"/>
      <c r="E999" s="175"/>
      <c r="F999" s="177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43"/>
      <c r="V999" s="143"/>
      <c r="W999" s="143"/>
    </row>
    <row r="1000" ht="12.75" customHeight="1">
      <c r="A1000" s="175"/>
      <c r="B1000" s="175"/>
      <c r="C1000" s="175"/>
      <c r="D1000" s="176"/>
      <c r="E1000" s="175"/>
      <c r="F1000" s="177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43"/>
      <c r="V1000" s="143"/>
      <c r="W1000" s="143"/>
    </row>
    <row r="1001" ht="12.75" customHeight="1">
      <c r="A1001" s="175"/>
      <c r="B1001" s="175"/>
      <c r="C1001" s="175"/>
      <c r="D1001" s="176"/>
      <c r="E1001" s="175"/>
      <c r="F1001" s="177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43"/>
      <c r="V1001" s="143"/>
      <c r="W1001" s="143"/>
    </row>
    <row r="1002" ht="12.75" customHeight="1">
      <c r="A1002" s="175"/>
      <c r="B1002" s="175"/>
      <c r="C1002" s="175"/>
      <c r="D1002" s="176"/>
      <c r="E1002" s="175"/>
      <c r="F1002" s="177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43"/>
      <c r="V1002" s="143"/>
      <c r="W1002" s="143"/>
    </row>
    <row r="1003" ht="12.75" customHeight="1">
      <c r="A1003" s="175"/>
      <c r="B1003" s="175"/>
      <c r="C1003" s="175"/>
      <c r="D1003" s="176"/>
      <c r="E1003" s="175"/>
      <c r="F1003" s="177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43"/>
      <c r="V1003" s="143"/>
      <c r="W1003" s="143"/>
    </row>
    <row r="1004" ht="12.75" customHeight="1">
      <c r="A1004" s="175"/>
      <c r="B1004" s="175"/>
      <c r="C1004" s="175"/>
      <c r="D1004" s="176"/>
      <c r="E1004" s="175"/>
      <c r="F1004" s="177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43"/>
      <c r="V1004" s="143"/>
      <c r="W1004" s="143"/>
    </row>
    <row r="1005" ht="12.75" customHeight="1">
      <c r="A1005" s="175"/>
      <c r="B1005" s="175"/>
      <c r="C1005" s="175"/>
      <c r="D1005" s="176"/>
      <c r="E1005" s="175"/>
      <c r="F1005" s="177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43"/>
      <c r="V1005" s="143"/>
      <c r="W1005" s="143"/>
    </row>
    <row r="1006" ht="12.75" customHeight="1">
      <c r="A1006" s="175"/>
      <c r="B1006" s="175"/>
      <c r="C1006" s="175"/>
      <c r="D1006" s="176"/>
      <c r="E1006" s="175"/>
      <c r="F1006" s="177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43"/>
      <c r="V1006" s="143"/>
      <c r="W1006" s="143"/>
    </row>
    <row r="1007" ht="12.75" customHeight="1">
      <c r="A1007" s="175"/>
      <c r="B1007" s="175"/>
      <c r="C1007" s="175"/>
      <c r="D1007" s="176"/>
      <c r="E1007" s="175"/>
      <c r="F1007" s="177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43"/>
      <c r="V1007" s="143"/>
      <c r="W1007" s="143"/>
    </row>
    <row r="1008" ht="12.75" customHeight="1">
      <c r="A1008" s="175"/>
      <c r="B1008" s="175"/>
      <c r="C1008" s="175"/>
      <c r="D1008" s="176"/>
      <c r="E1008" s="175"/>
      <c r="F1008" s="177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43"/>
      <c r="V1008" s="143"/>
      <c r="W1008" s="143"/>
    </row>
    <row r="1009" ht="12.75" customHeight="1">
      <c r="A1009" s="175"/>
      <c r="B1009" s="175"/>
      <c r="C1009" s="175"/>
      <c r="D1009" s="176"/>
      <c r="E1009" s="175"/>
      <c r="F1009" s="177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43"/>
      <c r="V1009" s="143"/>
      <c r="W1009" s="143"/>
    </row>
    <row r="1010" ht="12.75" customHeight="1">
      <c r="A1010" s="175"/>
      <c r="B1010" s="175"/>
      <c r="C1010" s="175"/>
      <c r="D1010" s="176"/>
      <c r="E1010" s="175"/>
      <c r="F1010" s="177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43"/>
      <c r="V1010" s="143"/>
      <c r="W1010" s="143"/>
    </row>
    <row r="1011" ht="12.75" customHeight="1">
      <c r="A1011" s="175"/>
      <c r="B1011" s="175"/>
      <c r="C1011" s="175"/>
      <c r="D1011" s="176"/>
      <c r="E1011" s="175"/>
      <c r="F1011" s="177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43"/>
      <c r="V1011" s="143"/>
      <c r="W1011" s="143"/>
    </row>
    <row r="1012" ht="12.75" customHeight="1">
      <c r="A1012" s="175"/>
      <c r="B1012" s="175"/>
      <c r="C1012" s="175"/>
      <c r="D1012" s="176"/>
      <c r="E1012" s="175"/>
      <c r="F1012" s="177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43"/>
      <c r="V1012" s="143"/>
      <c r="W1012" s="143"/>
    </row>
    <row r="1013" ht="12.75" customHeight="1">
      <c r="A1013" s="175"/>
      <c r="B1013" s="175"/>
      <c r="C1013" s="175"/>
      <c r="D1013" s="176"/>
      <c r="E1013" s="175"/>
      <c r="F1013" s="177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43"/>
      <c r="V1013" s="143"/>
      <c r="W1013" s="143"/>
    </row>
    <row r="1014" ht="12.75" customHeight="1">
      <c r="A1014" s="175"/>
      <c r="B1014" s="175"/>
      <c r="C1014" s="175"/>
      <c r="D1014" s="176"/>
      <c r="E1014" s="175"/>
      <c r="F1014" s="177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43"/>
      <c r="V1014" s="143"/>
      <c r="W1014" s="143"/>
    </row>
    <row r="1015" ht="12.75" customHeight="1">
      <c r="A1015" s="175"/>
      <c r="B1015" s="175"/>
      <c r="C1015" s="175"/>
      <c r="D1015" s="176"/>
      <c r="E1015" s="175"/>
      <c r="F1015" s="177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43"/>
      <c r="V1015" s="143"/>
      <c r="W1015" s="143"/>
    </row>
    <row r="1016" ht="12.75" customHeight="1">
      <c r="A1016" s="175"/>
      <c r="B1016" s="175"/>
      <c r="C1016" s="175"/>
      <c r="D1016" s="176"/>
      <c r="E1016" s="175"/>
      <c r="F1016" s="177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43"/>
      <c r="V1016" s="143"/>
      <c r="W1016" s="143"/>
    </row>
    <row r="1017" ht="12.75" customHeight="1">
      <c r="A1017" s="175"/>
      <c r="B1017" s="175"/>
      <c r="C1017" s="175"/>
      <c r="D1017" s="176"/>
      <c r="E1017" s="175"/>
      <c r="F1017" s="177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43"/>
      <c r="V1017" s="143"/>
      <c r="W1017" s="143"/>
    </row>
    <row r="1018" ht="12.75" customHeight="1">
      <c r="A1018" s="175"/>
      <c r="B1018" s="175"/>
      <c r="C1018" s="175"/>
      <c r="D1018" s="176"/>
      <c r="E1018" s="175"/>
      <c r="F1018" s="177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43"/>
      <c r="V1018" s="143"/>
      <c r="W1018" s="143"/>
    </row>
    <row r="1019" ht="12.75" customHeight="1">
      <c r="A1019" s="175"/>
      <c r="B1019" s="175"/>
      <c r="C1019" s="175"/>
      <c r="D1019" s="176"/>
      <c r="E1019" s="175"/>
      <c r="F1019" s="177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43"/>
      <c r="V1019" s="143"/>
      <c r="W1019" s="143"/>
    </row>
    <row r="1020" ht="12.75" customHeight="1">
      <c r="A1020" s="175"/>
      <c r="B1020" s="175"/>
      <c r="C1020" s="175"/>
      <c r="D1020" s="176"/>
      <c r="E1020" s="175"/>
      <c r="F1020" s="177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43"/>
      <c r="V1020" s="143"/>
      <c r="W1020" s="143"/>
    </row>
    <row r="1021" ht="12.75" customHeight="1">
      <c r="A1021" s="175"/>
      <c r="B1021" s="175"/>
      <c r="C1021" s="175"/>
      <c r="D1021" s="176"/>
      <c r="E1021" s="175"/>
      <c r="F1021" s="177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43"/>
      <c r="V1021" s="143"/>
      <c r="W1021" s="143"/>
    </row>
    <row r="1022" ht="12.75" customHeight="1">
      <c r="A1022" s="175"/>
      <c r="B1022" s="175"/>
      <c r="C1022" s="175"/>
      <c r="D1022" s="176"/>
      <c r="E1022" s="175"/>
      <c r="F1022" s="177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43"/>
      <c r="V1022" s="143"/>
      <c r="W1022" s="143"/>
    </row>
    <row r="1023" ht="12.75" customHeight="1">
      <c r="A1023" s="175"/>
      <c r="B1023" s="175"/>
      <c r="C1023" s="175"/>
      <c r="D1023" s="176"/>
      <c r="E1023" s="175"/>
      <c r="F1023" s="177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43"/>
      <c r="V1023" s="143"/>
      <c r="W1023" s="143"/>
    </row>
    <row r="1024" ht="12.75" customHeight="1">
      <c r="A1024" s="175"/>
      <c r="B1024" s="175"/>
      <c r="C1024" s="175"/>
      <c r="D1024" s="176"/>
      <c r="E1024" s="175"/>
      <c r="F1024" s="177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43"/>
      <c r="V1024" s="143"/>
      <c r="W1024" s="143"/>
    </row>
    <row r="1025" ht="12.75" customHeight="1">
      <c r="A1025" s="175"/>
      <c r="B1025" s="175"/>
      <c r="C1025" s="175"/>
      <c r="D1025" s="176"/>
      <c r="E1025" s="175"/>
      <c r="F1025" s="177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43"/>
      <c r="V1025" s="143"/>
      <c r="W1025" s="143"/>
    </row>
    <row r="1026" ht="12.75" customHeight="1">
      <c r="A1026" s="175"/>
      <c r="B1026" s="175"/>
      <c r="C1026" s="175"/>
      <c r="D1026" s="176"/>
      <c r="E1026" s="175"/>
      <c r="F1026" s="177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43"/>
      <c r="V1026" s="143"/>
      <c r="W1026" s="143"/>
    </row>
    <row r="1027" ht="12.75" customHeight="1">
      <c r="A1027" s="175"/>
      <c r="B1027" s="175"/>
      <c r="C1027" s="175"/>
      <c r="D1027" s="176"/>
      <c r="E1027" s="175"/>
      <c r="F1027" s="177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43"/>
      <c r="V1027" s="143"/>
      <c r="W1027" s="143"/>
    </row>
    <row r="1028" ht="12.75" customHeight="1">
      <c r="A1028" s="175"/>
      <c r="B1028" s="175"/>
      <c r="C1028" s="175"/>
      <c r="D1028" s="176"/>
      <c r="E1028" s="175"/>
      <c r="F1028" s="177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43"/>
      <c r="V1028" s="143"/>
      <c r="W1028" s="143"/>
    </row>
    <row r="1029" ht="12.75" customHeight="1">
      <c r="A1029" s="175"/>
      <c r="B1029" s="175"/>
      <c r="C1029" s="175"/>
      <c r="D1029" s="176"/>
      <c r="E1029" s="175"/>
      <c r="F1029" s="177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43"/>
      <c r="V1029" s="143"/>
      <c r="W1029" s="143"/>
    </row>
    <row r="1030" ht="12.75" customHeight="1">
      <c r="A1030" s="175"/>
      <c r="B1030" s="175"/>
      <c r="C1030" s="175"/>
      <c r="D1030" s="176"/>
      <c r="E1030" s="175"/>
      <c r="F1030" s="177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43"/>
      <c r="V1030" s="143"/>
      <c r="W1030" s="143"/>
    </row>
    <row r="1031" ht="12.75" customHeight="1">
      <c r="A1031" s="175"/>
      <c r="B1031" s="175"/>
      <c r="C1031" s="175"/>
      <c r="D1031" s="176"/>
      <c r="E1031" s="175"/>
      <c r="F1031" s="177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43"/>
      <c r="V1031" s="143"/>
      <c r="W1031" s="143"/>
    </row>
    <row r="1032" ht="12.75" customHeight="1">
      <c r="A1032" s="175"/>
      <c r="B1032" s="175"/>
      <c r="C1032" s="175"/>
      <c r="D1032" s="176"/>
      <c r="E1032" s="175"/>
      <c r="F1032" s="177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43"/>
      <c r="V1032" s="143"/>
      <c r="W1032" s="143"/>
    </row>
    <row r="1033" ht="12.75" customHeight="1">
      <c r="A1033" s="175"/>
      <c r="B1033" s="175"/>
      <c r="C1033" s="175"/>
      <c r="D1033" s="176"/>
      <c r="E1033" s="175"/>
      <c r="F1033" s="177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43"/>
      <c r="V1033" s="143"/>
      <c r="W1033" s="143"/>
    </row>
    <row r="1034" ht="12.75" customHeight="1">
      <c r="A1034" s="175"/>
      <c r="B1034" s="175"/>
      <c r="C1034" s="175"/>
      <c r="D1034" s="176"/>
      <c r="E1034" s="175"/>
      <c r="F1034" s="177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43"/>
      <c r="V1034" s="143"/>
      <c r="W1034" s="143"/>
    </row>
    <row r="1035" ht="12.75" customHeight="1">
      <c r="A1035" s="175"/>
      <c r="B1035" s="175"/>
      <c r="C1035" s="175"/>
      <c r="D1035" s="176"/>
      <c r="E1035" s="175"/>
      <c r="F1035" s="177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43"/>
      <c r="V1035" s="143"/>
      <c r="W1035" s="143"/>
    </row>
    <row r="1036" ht="12.75" customHeight="1">
      <c r="A1036" s="175"/>
      <c r="B1036" s="175"/>
      <c r="C1036" s="175"/>
      <c r="D1036" s="176"/>
      <c r="E1036" s="175"/>
      <c r="F1036" s="177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43"/>
      <c r="V1036" s="143"/>
      <c r="W1036" s="143"/>
    </row>
    <row r="1037" ht="12.75" customHeight="1">
      <c r="A1037" s="175"/>
      <c r="B1037" s="175"/>
      <c r="C1037" s="175"/>
      <c r="D1037" s="176"/>
      <c r="E1037" s="175"/>
      <c r="F1037" s="177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43"/>
      <c r="V1037" s="143"/>
      <c r="W1037" s="143"/>
    </row>
    <row r="1038" ht="12.75" customHeight="1">
      <c r="A1038" s="175"/>
      <c r="B1038" s="175"/>
      <c r="C1038" s="175"/>
      <c r="D1038" s="176"/>
      <c r="E1038" s="175"/>
      <c r="F1038" s="177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43"/>
      <c r="V1038" s="143"/>
      <c r="W1038" s="143"/>
    </row>
    <row r="1039" ht="12.75" customHeight="1">
      <c r="A1039" s="175"/>
      <c r="B1039" s="175"/>
      <c r="C1039" s="175"/>
      <c r="D1039" s="176"/>
      <c r="E1039" s="175"/>
      <c r="F1039" s="177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43"/>
      <c r="V1039" s="143"/>
      <c r="W1039" s="143"/>
    </row>
    <row r="1040" ht="12.75" customHeight="1">
      <c r="A1040" s="175"/>
      <c r="B1040" s="175"/>
      <c r="C1040" s="175"/>
      <c r="D1040" s="176"/>
      <c r="E1040" s="175"/>
      <c r="F1040" s="177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43"/>
      <c r="V1040" s="143"/>
      <c r="W1040" s="143"/>
    </row>
    <row r="1041" ht="12.75" customHeight="1">
      <c r="A1041" s="175"/>
      <c r="B1041" s="175"/>
      <c r="C1041" s="175"/>
      <c r="D1041" s="176"/>
      <c r="E1041" s="175"/>
      <c r="F1041" s="177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43"/>
      <c r="V1041" s="143"/>
      <c r="W1041" s="143"/>
    </row>
    <row r="1042" ht="12.75" customHeight="1">
      <c r="A1042" s="175"/>
      <c r="B1042" s="175"/>
      <c r="C1042" s="175"/>
      <c r="D1042" s="176"/>
      <c r="E1042" s="175"/>
      <c r="F1042" s="177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43"/>
      <c r="V1042" s="143"/>
      <c r="W1042" s="143"/>
    </row>
    <row r="1043" ht="12.75" customHeight="1">
      <c r="A1043" s="175"/>
      <c r="B1043" s="175"/>
      <c r="C1043" s="175"/>
      <c r="D1043" s="176"/>
      <c r="E1043" s="175"/>
      <c r="F1043" s="177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43"/>
      <c r="V1043" s="143"/>
      <c r="W1043" s="143"/>
    </row>
    <row r="1044" ht="12.75" customHeight="1">
      <c r="A1044" s="175"/>
      <c r="B1044" s="175"/>
      <c r="C1044" s="175"/>
      <c r="D1044" s="176"/>
      <c r="E1044" s="175"/>
      <c r="F1044" s="177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43"/>
      <c r="V1044" s="143"/>
      <c r="W1044" s="143"/>
    </row>
    <row r="1045" ht="12.75" customHeight="1">
      <c r="A1045" s="175"/>
      <c r="B1045" s="175"/>
      <c r="C1045" s="175"/>
      <c r="D1045" s="176"/>
      <c r="E1045" s="175"/>
      <c r="F1045" s="177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43"/>
      <c r="V1045" s="143"/>
      <c r="W1045" s="143"/>
    </row>
    <row r="1046" ht="12.75" customHeight="1">
      <c r="A1046" s="175"/>
      <c r="B1046" s="175"/>
      <c r="C1046" s="175"/>
      <c r="D1046" s="176"/>
      <c r="E1046" s="175"/>
      <c r="F1046" s="177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43"/>
      <c r="V1046" s="143"/>
      <c r="W1046" s="143"/>
    </row>
    <row r="1047" ht="12.75" customHeight="1">
      <c r="A1047" s="175"/>
      <c r="B1047" s="175"/>
      <c r="C1047" s="175"/>
      <c r="D1047" s="176"/>
      <c r="E1047" s="175"/>
      <c r="F1047" s="177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43"/>
      <c r="V1047" s="143"/>
      <c r="W1047" s="143"/>
    </row>
    <row r="1048" ht="12.75" customHeight="1">
      <c r="A1048" s="175"/>
      <c r="B1048" s="175"/>
      <c r="C1048" s="175"/>
      <c r="D1048" s="176"/>
      <c r="E1048" s="175"/>
      <c r="F1048" s="177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43"/>
      <c r="V1048" s="143"/>
      <c r="W1048" s="143"/>
    </row>
    <row r="1049" ht="12.75" customHeight="1">
      <c r="A1049" s="175"/>
      <c r="B1049" s="175"/>
      <c r="C1049" s="175"/>
      <c r="D1049" s="176"/>
      <c r="E1049" s="175"/>
      <c r="F1049" s="177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43"/>
      <c r="V1049" s="143"/>
      <c r="W1049" s="143"/>
    </row>
    <row r="1050" ht="12.75" customHeight="1">
      <c r="A1050" s="175"/>
      <c r="B1050" s="175"/>
      <c r="C1050" s="175"/>
      <c r="D1050" s="176"/>
      <c r="E1050" s="175"/>
      <c r="F1050" s="177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43"/>
      <c r="V1050" s="143"/>
      <c r="W1050" s="143"/>
    </row>
    <row r="1051" ht="12.75" customHeight="1">
      <c r="A1051" s="175"/>
      <c r="B1051" s="175"/>
      <c r="C1051" s="175"/>
      <c r="D1051" s="176"/>
      <c r="E1051" s="175"/>
      <c r="F1051" s="177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43"/>
      <c r="V1051" s="143"/>
      <c r="W1051" s="143"/>
    </row>
    <row r="1052" ht="12.75" customHeight="1">
      <c r="A1052" s="175"/>
      <c r="B1052" s="175"/>
      <c r="C1052" s="175"/>
      <c r="D1052" s="176"/>
      <c r="E1052" s="175"/>
      <c r="F1052" s="177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43"/>
      <c r="V1052" s="143"/>
      <c r="W1052" s="143"/>
    </row>
    <row r="1053" ht="12.75" customHeight="1">
      <c r="A1053" s="175"/>
      <c r="B1053" s="175"/>
      <c r="C1053" s="175"/>
      <c r="D1053" s="176"/>
      <c r="E1053" s="175"/>
      <c r="F1053" s="177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43"/>
      <c r="V1053" s="143"/>
      <c r="W1053" s="143"/>
    </row>
    <row r="1054" ht="12.75" customHeight="1">
      <c r="A1054" s="175"/>
      <c r="B1054" s="175"/>
      <c r="C1054" s="175"/>
      <c r="D1054" s="176"/>
      <c r="E1054" s="175"/>
      <c r="F1054" s="177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43"/>
      <c r="V1054" s="143"/>
      <c r="W1054" s="143"/>
    </row>
    <row r="1055" ht="12.75" customHeight="1">
      <c r="A1055" s="175"/>
      <c r="B1055" s="175"/>
      <c r="C1055" s="175"/>
      <c r="D1055" s="176"/>
      <c r="E1055" s="175"/>
      <c r="F1055" s="177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43"/>
      <c r="V1055" s="143"/>
      <c r="W1055" s="143"/>
    </row>
    <row r="1056" ht="12.75" customHeight="1">
      <c r="A1056" s="175"/>
      <c r="B1056" s="175"/>
      <c r="C1056" s="175"/>
      <c r="D1056" s="176"/>
      <c r="E1056" s="175"/>
      <c r="F1056" s="177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43"/>
      <c r="V1056" s="143"/>
      <c r="W1056" s="143"/>
    </row>
    <row r="1057" ht="12.75" customHeight="1">
      <c r="A1057" s="175"/>
      <c r="B1057" s="175"/>
      <c r="C1057" s="175"/>
      <c r="D1057" s="176"/>
      <c r="E1057" s="175"/>
      <c r="F1057" s="177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43"/>
      <c r="V1057" s="143"/>
      <c r="W1057" s="143"/>
    </row>
    <row r="1058" ht="12.75" customHeight="1">
      <c r="A1058" s="175"/>
      <c r="B1058" s="175"/>
      <c r="C1058" s="175"/>
      <c r="D1058" s="176"/>
      <c r="E1058" s="175"/>
      <c r="F1058" s="177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43"/>
      <c r="V1058" s="143"/>
      <c r="W1058" s="143"/>
    </row>
    <row r="1059" ht="12.75" customHeight="1">
      <c r="A1059" s="175"/>
      <c r="B1059" s="175"/>
      <c r="C1059" s="175"/>
      <c r="D1059" s="176"/>
      <c r="E1059" s="175"/>
      <c r="F1059" s="177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43"/>
      <c r="V1059" s="143"/>
      <c r="W1059" s="143"/>
    </row>
    <row r="1060" ht="12.75" customHeight="1">
      <c r="A1060" s="175"/>
      <c r="B1060" s="175"/>
      <c r="C1060" s="175"/>
      <c r="D1060" s="176"/>
      <c r="E1060" s="175"/>
      <c r="F1060" s="177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43"/>
      <c r="V1060" s="143"/>
      <c r="W1060" s="143"/>
    </row>
    <row r="1061" ht="12.75" customHeight="1">
      <c r="A1061" s="175"/>
      <c r="B1061" s="175"/>
      <c r="C1061" s="175"/>
      <c r="D1061" s="176"/>
      <c r="E1061" s="175"/>
      <c r="F1061" s="177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43"/>
      <c r="V1061" s="143"/>
      <c r="W1061" s="143"/>
    </row>
    <row r="1062" ht="12.75" customHeight="1">
      <c r="A1062" s="175"/>
      <c r="B1062" s="175"/>
      <c r="C1062" s="175"/>
      <c r="D1062" s="176"/>
      <c r="E1062" s="175"/>
      <c r="F1062" s="177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43"/>
      <c r="V1062" s="143"/>
      <c r="W1062" s="143"/>
    </row>
    <row r="1063" ht="12.75" customHeight="1">
      <c r="A1063" s="175"/>
      <c r="B1063" s="175"/>
      <c r="C1063" s="175"/>
      <c r="D1063" s="176"/>
      <c r="E1063" s="175"/>
      <c r="F1063" s="177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43"/>
      <c r="V1063" s="143"/>
      <c r="W1063" s="143"/>
    </row>
    <row r="1064" ht="12.75" customHeight="1">
      <c r="A1064" s="175"/>
      <c r="B1064" s="175"/>
      <c r="C1064" s="175"/>
      <c r="D1064" s="176"/>
      <c r="E1064" s="175"/>
      <c r="F1064" s="177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43"/>
      <c r="V1064" s="143"/>
      <c r="W1064" s="143"/>
    </row>
    <row r="1065" ht="12.75" customHeight="1">
      <c r="A1065" s="175"/>
      <c r="B1065" s="175"/>
      <c r="C1065" s="175"/>
      <c r="D1065" s="176"/>
      <c r="E1065" s="175"/>
      <c r="F1065" s="177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43"/>
      <c r="V1065" s="143"/>
      <c r="W1065" s="143"/>
    </row>
    <row r="1066" ht="12.75" customHeight="1">
      <c r="A1066" s="175"/>
      <c r="B1066" s="175"/>
      <c r="C1066" s="175"/>
      <c r="D1066" s="176"/>
      <c r="E1066" s="175"/>
      <c r="F1066" s="177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43"/>
      <c r="V1066" s="143"/>
      <c r="W1066" s="143"/>
    </row>
    <row r="1067" ht="12.75" customHeight="1">
      <c r="A1067" s="175"/>
      <c r="B1067" s="175"/>
      <c r="C1067" s="175"/>
      <c r="D1067" s="176"/>
      <c r="E1067" s="175"/>
      <c r="F1067" s="177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43"/>
      <c r="V1067" s="143"/>
      <c r="W1067" s="143"/>
    </row>
    <row r="1068" ht="12.75" customHeight="1">
      <c r="A1068" s="175"/>
      <c r="B1068" s="175"/>
      <c r="C1068" s="175"/>
      <c r="D1068" s="176"/>
      <c r="E1068" s="175"/>
      <c r="F1068" s="177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43"/>
      <c r="V1068" s="143"/>
      <c r="W1068" s="143"/>
    </row>
    <row r="1069" ht="12.75" customHeight="1">
      <c r="A1069" s="175"/>
      <c r="B1069" s="175"/>
      <c r="C1069" s="175"/>
      <c r="D1069" s="176"/>
      <c r="E1069" s="175"/>
      <c r="F1069" s="177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43"/>
      <c r="V1069" s="143"/>
      <c r="W1069" s="143"/>
    </row>
    <row r="1070" ht="12.75" customHeight="1">
      <c r="A1070" s="175"/>
      <c r="B1070" s="175"/>
      <c r="C1070" s="175"/>
      <c r="D1070" s="176"/>
      <c r="E1070" s="175"/>
      <c r="F1070" s="177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43"/>
      <c r="V1070" s="143"/>
      <c r="W1070" s="143"/>
    </row>
    <row r="1071" ht="12.75" customHeight="1">
      <c r="A1071" s="175"/>
      <c r="B1071" s="175"/>
      <c r="C1071" s="175"/>
      <c r="D1071" s="176"/>
      <c r="E1071" s="175"/>
      <c r="F1071" s="177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43"/>
      <c r="V1071" s="143"/>
      <c r="W1071" s="143"/>
    </row>
    <row r="1072" ht="12.75" customHeight="1">
      <c r="A1072" s="175"/>
      <c r="B1072" s="175"/>
      <c r="C1072" s="175"/>
      <c r="D1072" s="176"/>
      <c r="E1072" s="175"/>
      <c r="F1072" s="177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43"/>
      <c r="V1072" s="143"/>
      <c r="W1072" s="143"/>
    </row>
    <row r="1073" ht="12.75" customHeight="1">
      <c r="A1073" s="175"/>
      <c r="B1073" s="175"/>
      <c r="C1073" s="175"/>
      <c r="D1073" s="176"/>
      <c r="E1073" s="175"/>
      <c r="F1073" s="177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43"/>
      <c r="V1073" s="143"/>
      <c r="W1073" s="143"/>
    </row>
    <row r="1074" ht="12.75" customHeight="1">
      <c r="A1074" s="175"/>
      <c r="B1074" s="175"/>
      <c r="C1074" s="175"/>
      <c r="D1074" s="176"/>
      <c r="E1074" s="175"/>
      <c r="F1074" s="177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43"/>
      <c r="V1074" s="143"/>
      <c r="W1074" s="143"/>
    </row>
    <row r="1075" ht="12.75" customHeight="1">
      <c r="A1075" s="175"/>
      <c r="B1075" s="175"/>
      <c r="C1075" s="175"/>
      <c r="D1075" s="176"/>
      <c r="E1075" s="175"/>
      <c r="F1075" s="177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43"/>
      <c r="V1075" s="143"/>
      <c r="W1075" s="143"/>
    </row>
    <row r="1076" ht="12.75" customHeight="1">
      <c r="A1076" s="175"/>
      <c r="B1076" s="175"/>
      <c r="C1076" s="175"/>
      <c r="D1076" s="176"/>
      <c r="E1076" s="175"/>
      <c r="F1076" s="177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43"/>
      <c r="V1076" s="143"/>
      <c r="W1076" s="143"/>
    </row>
    <row r="1077" ht="12.75" customHeight="1">
      <c r="A1077" s="175"/>
      <c r="B1077" s="175"/>
      <c r="C1077" s="175"/>
      <c r="D1077" s="176"/>
      <c r="E1077" s="175"/>
      <c r="F1077" s="177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43"/>
      <c r="V1077" s="143"/>
      <c r="W1077" s="143"/>
    </row>
    <row r="1078" ht="12.75" customHeight="1">
      <c r="A1078" s="175"/>
      <c r="B1078" s="175"/>
      <c r="C1078" s="175"/>
      <c r="D1078" s="176"/>
      <c r="E1078" s="175"/>
      <c r="F1078" s="177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43"/>
      <c r="V1078" s="143"/>
      <c r="W1078" s="143"/>
    </row>
    <row r="1079" ht="12.75" customHeight="1">
      <c r="A1079" s="175"/>
      <c r="B1079" s="175"/>
      <c r="C1079" s="175"/>
      <c r="D1079" s="176"/>
      <c r="E1079" s="175"/>
      <c r="F1079" s="177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43"/>
      <c r="V1079" s="143"/>
      <c r="W1079" s="143"/>
    </row>
    <row r="1080" ht="12.75" customHeight="1">
      <c r="A1080" s="175"/>
      <c r="B1080" s="175"/>
      <c r="C1080" s="175"/>
      <c r="D1080" s="176"/>
      <c r="E1080" s="175"/>
      <c r="F1080" s="177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43"/>
      <c r="V1080" s="143"/>
      <c r="W1080" s="143"/>
    </row>
    <row r="1081" ht="12.75" customHeight="1">
      <c r="A1081" s="175"/>
      <c r="B1081" s="175"/>
      <c r="C1081" s="175"/>
      <c r="D1081" s="176"/>
      <c r="E1081" s="175"/>
      <c r="F1081" s="177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43"/>
      <c r="V1081" s="143"/>
      <c r="W1081" s="143"/>
    </row>
    <row r="1082" ht="12.75" customHeight="1">
      <c r="A1082" s="175"/>
      <c r="B1082" s="175"/>
      <c r="C1082" s="175"/>
      <c r="D1082" s="176"/>
      <c r="E1082" s="175"/>
      <c r="F1082" s="177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43"/>
      <c r="V1082" s="143"/>
      <c r="W1082" s="143"/>
    </row>
    <row r="1083" ht="12.75" customHeight="1">
      <c r="A1083" s="175"/>
      <c r="B1083" s="175"/>
      <c r="C1083" s="175"/>
      <c r="D1083" s="176"/>
      <c r="E1083" s="175"/>
      <c r="F1083" s="177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43"/>
      <c r="V1083" s="143"/>
      <c r="W1083" s="143"/>
    </row>
    <row r="1084" ht="12.75" customHeight="1">
      <c r="A1084" s="175"/>
      <c r="B1084" s="175"/>
      <c r="C1084" s="175"/>
      <c r="D1084" s="176"/>
      <c r="E1084" s="175"/>
      <c r="F1084" s="177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43"/>
      <c r="V1084" s="143"/>
      <c r="W1084" s="143"/>
    </row>
    <row r="1085" ht="12.75" customHeight="1">
      <c r="A1085" s="175"/>
      <c r="B1085" s="175"/>
      <c r="C1085" s="175"/>
      <c r="D1085" s="176"/>
      <c r="E1085" s="175"/>
      <c r="F1085" s="177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43"/>
      <c r="V1085" s="143"/>
      <c r="W1085" s="143"/>
    </row>
    <row r="1086" ht="12.75" customHeight="1">
      <c r="A1086" s="175"/>
      <c r="B1086" s="175"/>
      <c r="C1086" s="175"/>
      <c r="D1086" s="176"/>
      <c r="E1086" s="175"/>
      <c r="F1086" s="177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43"/>
      <c r="V1086" s="143"/>
      <c r="W1086" s="143"/>
    </row>
    <row r="1087" ht="12.75" customHeight="1">
      <c r="A1087" s="175"/>
      <c r="B1087" s="175"/>
      <c r="C1087" s="175"/>
      <c r="D1087" s="176"/>
      <c r="E1087" s="175"/>
      <c r="F1087" s="177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43"/>
      <c r="V1087" s="143"/>
      <c r="W1087" s="143"/>
    </row>
    <row r="1088" ht="12.75" customHeight="1">
      <c r="A1088" s="175"/>
      <c r="B1088" s="175"/>
      <c r="C1088" s="175"/>
      <c r="D1088" s="176"/>
      <c r="E1088" s="175"/>
      <c r="F1088" s="177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43"/>
      <c r="V1088" s="143"/>
      <c r="W1088" s="143"/>
    </row>
    <row r="1089" ht="12.75" customHeight="1">
      <c r="A1089" s="175"/>
      <c r="B1089" s="175"/>
      <c r="C1089" s="175"/>
      <c r="D1089" s="176"/>
      <c r="E1089" s="175"/>
      <c r="F1089" s="177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43"/>
      <c r="V1089" s="143"/>
      <c r="W1089" s="143"/>
    </row>
    <row r="1090" ht="12.75" customHeight="1">
      <c r="A1090" s="175"/>
      <c r="B1090" s="175"/>
      <c r="C1090" s="175"/>
      <c r="D1090" s="176"/>
      <c r="E1090" s="175"/>
      <c r="F1090" s="177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43"/>
      <c r="V1090" s="143"/>
      <c r="W1090" s="143"/>
    </row>
    <row r="1091" ht="12.75" customHeight="1">
      <c r="A1091" s="175"/>
      <c r="B1091" s="175"/>
      <c r="C1091" s="175"/>
      <c r="D1091" s="176"/>
      <c r="E1091" s="175"/>
      <c r="F1091" s="177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43"/>
      <c r="V1091" s="143"/>
      <c r="W1091" s="143"/>
    </row>
    <row r="1092" ht="12.75" customHeight="1">
      <c r="A1092" s="175"/>
      <c r="B1092" s="175"/>
      <c r="C1092" s="175"/>
      <c r="D1092" s="176"/>
      <c r="E1092" s="175"/>
      <c r="F1092" s="177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43"/>
      <c r="V1092" s="143"/>
      <c r="W1092" s="143"/>
    </row>
    <row r="1093" ht="12.75" customHeight="1">
      <c r="A1093" s="175"/>
      <c r="B1093" s="175"/>
      <c r="C1093" s="175"/>
      <c r="D1093" s="176"/>
      <c r="E1093" s="175"/>
      <c r="F1093" s="177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43"/>
      <c r="V1093" s="143"/>
      <c r="W1093" s="143"/>
    </row>
    <row r="1094" ht="12.75" customHeight="1">
      <c r="A1094" s="175"/>
      <c r="B1094" s="175"/>
      <c r="C1094" s="175"/>
      <c r="D1094" s="176"/>
      <c r="E1094" s="175"/>
      <c r="F1094" s="177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43"/>
      <c r="V1094" s="143"/>
      <c r="W1094" s="143"/>
    </row>
    <row r="1095" ht="12.75" customHeight="1">
      <c r="A1095" s="175"/>
      <c r="B1095" s="175"/>
      <c r="C1095" s="175"/>
      <c r="D1095" s="176"/>
      <c r="E1095" s="175"/>
      <c r="F1095" s="177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43"/>
      <c r="V1095" s="143"/>
      <c r="W1095" s="143"/>
    </row>
    <row r="1096" ht="12.75" customHeight="1">
      <c r="A1096" s="175"/>
      <c r="B1096" s="175"/>
      <c r="C1096" s="175"/>
      <c r="D1096" s="176"/>
      <c r="E1096" s="175"/>
      <c r="F1096" s="177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43"/>
      <c r="V1096" s="143"/>
      <c r="W1096" s="143"/>
    </row>
    <row r="1097" ht="12.75" customHeight="1">
      <c r="A1097" s="175"/>
      <c r="B1097" s="175"/>
      <c r="C1097" s="175"/>
      <c r="D1097" s="176"/>
      <c r="E1097" s="175"/>
      <c r="F1097" s="177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43"/>
      <c r="V1097" s="143"/>
      <c r="W1097" s="143"/>
    </row>
    <row r="1098" ht="12.75" customHeight="1">
      <c r="A1098" s="175"/>
      <c r="B1098" s="175"/>
      <c r="C1098" s="175"/>
      <c r="D1098" s="176"/>
      <c r="E1098" s="175"/>
      <c r="F1098" s="177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43"/>
      <c r="V1098" s="143"/>
      <c r="W1098" s="143"/>
    </row>
    <row r="1099" ht="12.75" customHeight="1">
      <c r="A1099" s="175"/>
      <c r="B1099" s="175"/>
      <c r="C1099" s="175"/>
      <c r="D1099" s="176"/>
      <c r="E1099" s="175"/>
      <c r="F1099" s="177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43"/>
      <c r="V1099" s="143"/>
      <c r="W1099" s="143"/>
    </row>
    <row r="1100" ht="12.75" customHeight="1">
      <c r="A1100" s="175"/>
      <c r="B1100" s="175"/>
      <c r="C1100" s="175"/>
      <c r="D1100" s="176"/>
      <c r="E1100" s="175"/>
      <c r="F1100" s="177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43"/>
      <c r="V1100" s="143"/>
      <c r="W1100" s="143"/>
    </row>
    <row r="1101" ht="12.75" customHeight="1">
      <c r="A1101" s="175"/>
      <c r="B1101" s="175"/>
      <c r="C1101" s="175"/>
      <c r="D1101" s="176"/>
      <c r="E1101" s="175"/>
      <c r="F1101" s="177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43"/>
      <c r="V1101" s="143"/>
      <c r="W1101" s="143"/>
    </row>
    <row r="1102" ht="12.75" customHeight="1">
      <c r="A1102" s="175"/>
      <c r="B1102" s="175"/>
      <c r="C1102" s="175"/>
      <c r="D1102" s="176"/>
      <c r="E1102" s="175"/>
      <c r="F1102" s="177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43"/>
      <c r="V1102" s="143"/>
      <c r="W1102" s="143"/>
    </row>
    <row r="1103" ht="12.75" customHeight="1">
      <c r="A1103" s="175"/>
      <c r="B1103" s="175"/>
      <c r="C1103" s="175"/>
      <c r="D1103" s="176"/>
      <c r="E1103" s="175"/>
      <c r="F1103" s="177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43"/>
      <c r="V1103" s="143"/>
      <c r="W1103" s="143"/>
    </row>
    <row r="1104" ht="12.75" customHeight="1">
      <c r="A1104" s="175"/>
      <c r="B1104" s="175"/>
      <c r="C1104" s="175"/>
      <c r="D1104" s="176"/>
      <c r="E1104" s="175"/>
      <c r="F1104" s="177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43"/>
      <c r="V1104" s="143"/>
      <c r="W1104" s="143"/>
    </row>
    <row r="1105" ht="12.75" customHeight="1">
      <c r="A1105" s="175"/>
      <c r="B1105" s="175"/>
      <c r="C1105" s="175"/>
      <c r="D1105" s="176"/>
      <c r="E1105" s="175"/>
      <c r="F1105" s="177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43"/>
      <c r="V1105" s="143"/>
      <c r="W1105" s="143"/>
    </row>
    <row r="1106" ht="12.75" customHeight="1">
      <c r="A1106" s="175"/>
      <c r="B1106" s="175"/>
      <c r="C1106" s="175"/>
      <c r="D1106" s="176"/>
      <c r="E1106" s="175"/>
      <c r="F1106" s="177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43"/>
      <c r="V1106" s="143"/>
      <c r="W1106" s="143"/>
    </row>
    <row r="1107" ht="12.75" customHeight="1">
      <c r="A1107" s="175"/>
      <c r="B1107" s="175"/>
      <c r="C1107" s="175"/>
      <c r="D1107" s="176"/>
      <c r="E1107" s="175"/>
      <c r="F1107" s="177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43"/>
      <c r="V1107" s="143"/>
      <c r="W1107" s="143"/>
    </row>
    <row r="1108" ht="12.75" customHeight="1">
      <c r="A1108" s="175"/>
      <c r="B1108" s="175"/>
      <c r="C1108" s="175"/>
      <c r="D1108" s="176"/>
      <c r="E1108" s="175"/>
      <c r="F1108" s="177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43"/>
      <c r="V1108" s="143"/>
      <c r="W1108" s="143"/>
    </row>
    <row r="1109" ht="12.75" customHeight="1">
      <c r="A1109" s="175"/>
      <c r="B1109" s="175"/>
      <c r="C1109" s="175"/>
      <c r="D1109" s="176"/>
      <c r="E1109" s="175"/>
      <c r="F1109" s="177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43"/>
      <c r="V1109" s="143"/>
      <c r="W1109" s="143"/>
    </row>
    <row r="1110" ht="12.75" customHeight="1">
      <c r="A1110" s="175"/>
      <c r="B1110" s="175"/>
      <c r="C1110" s="175"/>
      <c r="D1110" s="176"/>
      <c r="E1110" s="175"/>
      <c r="F1110" s="177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43"/>
      <c r="V1110" s="143"/>
      <c r="W1110" s="143"/>
    </row>
    <row r="1111" ht="12.75" customHeight="1">
      <c r="A1111" s="175"/>
      <c r="B1111" s="175"/>
      <c r="C1111" s="175"/>
      <c r="D1111" s="176"/>
      <c r="E1111" s="175"/>
      <c r="F1111" s="177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43"/>
      <c r="V1111" s="143"/>
      <c r="W1111" s="143"/>
    </row>
    <row r="1112" ht="12.75" customHeight="1">
      <c r="A1112" s="175"/>
      <c r="B1112" s="175"/>
      <c r="C1112" s="175"/>
      <c r="D1112" s="176"/>
      <c r="E1112" s="175"/>
      <c r="F1112" s="177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43"/>
      <c r="V1112" s="143"/>
      <c r="W1112" s="143"/>
    </row>
    <row r="1113" ht="12.75" customHeight="1">
      <c r="A1113" s="175"/>
      <c r="B1113" s="175"/>
      <c r="C1113" s="175"/>
      <c r="D1113" s="176"/>
      <c r="E1113" s="175"/>
      <c r="F1113" s="177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43"/>
      <c r="V1113" s="143"/>
      <c r="W1113" s="143"/>
    </row>
    <row r="1114" ht="12.75" customHeight="1">
      <c r="A1114" s="175"/>
      <c r="B1114" s="175"/>
      <c r="C1114" s="175"/>
      <c r="D1114" s="176"/>
      <c r="E1114" s="175"/>
      <c r="F1114" s="177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43"/>
      <c r="V1114" s="143"/>
      <c r="W1114" s="143"/>
    </row>
    <row r="1115" ht="12.75" customHeight="1">
      <c r="A1115" s="175"/>
      <c r="B1115" s="175"/>
      <c r="C1115" s="175"/>
      <c r="D1115" s="176"/>
      <c r="E1115" s="175"/>
      <c r="F1115" s="177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43"/>
      <c r="V1115" s="143"/>
      <c r="W1115" s="143"/>
    </row>
    <row r="1116" ht="12.75" customHeight="1">
      <c r="A1116" s="175"/>
      <c r="B1116" s="175"/>
      <c r="C1116" s="175"/>
      <c r="D1116" s="176"/>
      <c r="E1116" s="175"/>
      <c r="F1116" s="177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43"/>
      <c r="V1116" s="143"/>
      <c r="W1116" s="143"/>
    </row>
    <row r="1117" ht="12.75" customHeight="1">
      <c r="A1117" s="175"/>
      <c r="B1117" s="175"/>
      <c r="C1117" s="175"/>
      <c r="D1117" s="176"/>
      <c r="E1117" s="175"/>
      <c r="F1117" s="177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43"/>
      <c r="V1117" s="143"/>
      <c r="W1117" s="143"/>
    </row>
    <row r="1118" ht="12.75" customHeight="1">
      <c r="A1118" s="175"/>
      <c r="B1118" s="175"/>
      <c r="C1118" s="175"/>
      <c r="D1118" s="176"/>
      <c r="E1118" s="175"/>
      <c r="F1118" s="177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43"/>
      <c r="V1118" s="143"/>
      <c r="W1118" s="143"/>
    </row>
    <row r="1119" ht="12.75" customHeight="1">
      <c r="A1119" s="175"/>
      <c r="B1119" s="175"/>
      <c r="C1119" s="175"/>
      <c r="D1119" s="176"/>
      <c r="E1119" s="175"/>
      <c r="F1119" s="177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43"/>
      <c r="V1119" s="143"/>
      <c r="W1119" s="143"/>
    </row>
    <row r="1120" ht="12.75" customHeight="1">
      <c r="A1120" s="175"/>
      <c r="B1120" s="175"/>
      <c r="C1120" s="175"/>
      <c r="D1120" s="176"/>
      <c r="E1120" s="175"/>
      <c r="F1120" s="177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43"/>
      <c r="V1120" s="143"/>
      <c r="W1120" s="143"/>
    </row>
    <row r="1121" ht="12.75" customHeight="1">
      <c r="A1121" s="175"/>
      <c r="B1121" s="175"/>
      <c r="C1121" s="175"/>
      <c r="D1121" s="176"/>
      <c r="E1121" s="175"/>
      <c r="F1121" s="177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43"/>
      <c r="V1121" s="143"/>
      <c r="W1121" s="143"/>
    </row>
    <row r="1122" ht="12.75" customHeight="1">
      <c r="A1122" s="175"/>
      <c r="B1122" s="175"/>
      <c r="C1122" s="175"/>
      <c r="D1122" s="176"/>
      <c r="E1122" s="175"/>
      <c r="F1122" s="177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43"/>
      <c r="V1122" s="143"/>
      <c r="W1122" s="143"/>
    </row>
    <row r="1123" ht="12.75" customHeight="1">
      <c r="A1123" s="175"/>
      <c r="B1123" s="175"/>
      <c r="C1123" s="175"/>
      <c r="D1123" s="176"/>
      <c r="E1123" s="175"/>
      <c r="F1123" s="177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43"/>
      <c r="V1123" s="143"/>
      <c r="W1123" s="143"/>
    </row>
    <row r="1124" ht="12.75" customHeight="1">
      <c r="A1124" s="175"/>
      <c r="B1124" s="175"/>
      <c r="C1124" s="175"/>
      <c r="D1124" s="176"/>
      <c r="E1124" s="175"/>
      <c r="F1124" s="177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43"/>
      <c r="V1124" s="143"/>
      <c r="W1124" s="143"/>
    </row>
    <row r="1125" ht="12.75" customHeight="1">
      <c r="A1125" s="175"/>
      <c r="B1125" s="175"/>
      <c r="C1125" s="175"/>
      <c r="D1125" s="176"/>
      <c r="E1125" s="175"/>
      <c r="F1125" s="177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43"/>
      <c r="V1125" s="143"/>
      <c r="W1125" s="143"/>
    </row>
    <row r="1126" ht="12.75" customHeight="1">
      <c r="A1126" s="175"/>
      <c r="B1126" s="175"/>
      <c r="C1126" s="175"/>
      <c r="D1126" s="176"/>
      <c r="E1126" s="175"/>
      <c r="F1126" s="177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43"/>
      <c r="V1126" s="143"/>
      <c r="W1126" s="143"/>
    </row>
    <row r="1127" ht="12.75" customHeight="1">
      <c r="A1127" s="175"/>
      <c r="B1127" s="175"/>
      <c r="C1127" s="175"/>
      <c r="D1127" s="176"/>
      <c r="E1127" s="175"/>
      <c r="F1127" s="177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43"/>
      <c r="V1127" s="143"/>
      <c r="W1127" s="143"/>
    </row>
    <row r="1128" ht="12.75" customHeight="1">
      <c r="A1128" s="175"/>
      <c r="B1128" s="175"/>
      <c r="C1128" s="175"/>
      <c r="D1128" s="176"/>
      <c r="E1128" s="175"/>
      <c r="F1128" s="177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43"/>
      <c r="V1128" s="143"/>
      <c r="W1128" s="143"/>
    </row>
    <row r="1129" ht="12.75" customHeight="1">
      <c r="A1129" s="175"/>
      <c r="B1129" s="175"/>
      <c r="C1129" s="175"/>
      <c r="D1129" s="176"/>
      <c r="E1129" s="175"/>
      <c r="F1129" s="177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43"/>
      <c r="V1129" s="143"/>
      <c r="W1129" s="143"/>
    </row>
    <row r="1130" ht="12.75" customHeight="1">
      <c r="A1130" s="175"/>
      <c r="B1130" s="175"/>
      <c r="C1130" s="175"/>
      <c r="D1130" s="176"/>
      <c r="E1130" s="175"/>
      <c r="F1130" s="177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43"/>
      <c r="V1130" s="143"/>
      <c r="W1130" s="143"/>
    </row>
    <row r="1131" ht="12.75" customHeight="1">
      <c r="A1131" s="175"/>
      <c r="B1131" s="175"/>
      <c r="C1131" s="175"/>
      <c r="D1131" s="176"/>
      <c r="E1131" s="175"/>
      <c r="F1131" s="177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43"/>
      <c r="V1131" s="143"/>
      <c r="W1131" s="143"/>
    </row>
    <row r="1132" ht="12.75" customHeight="1">
      <c r="A1132" s="175"/>
      <c r="B1132" s="175"/>
      <c r="C1132" s="175"/>
      <c r="D1132" s="176"/>
      <c r="E1132" s="175"/>
      <c r="F1132" s="177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43"/>
      <c r="V1132" s="143"/>
      <c r="W1132" s="143"/>
    </row>
    <row r="1133" ht="12.75" customHeight="1">
      <c r="A1133" s="175"/>
      <c r="B1133" s="175"/>
      <c r="C1133" s="175"/>
      <c r="D1133" s="176"/>
      <c r="E1133" s="175"/>
      <c r="F1133" s="177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43"/>
      <c r="V1133" s="143"/>
      <c r="W1133" s="143"/>
    </row>
    <row r="1134" ht="12.75" customHeight="1">
      <c r="A1134" s="175"/>
      <c r="B1134" s="175"/>
      <c r="C1134" s="175"/>
      <c r="D1134" s="176"/>
      <c r="E1134" s="175"/>
      <c r="F1134" s="177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43"/>
      <c r="V1134" s="143"/>
      <c r="W1134" s="143"/>
    </row>
    <row r="1135" ht="12.75" customHeight="1">
      <c r="A1135" s="175"/>
      <c r="B1135" s="175"/>
      <c r="C1135" s="175"/>
      <c r="D1135" s="176"/>
      <c r="E1135" s="175"/>
      <c r="F1135" s="177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43"/>
      <c r="V1135" s="143"/>
      <c r="W1135" s="143"/>
    </row>
    <row r="1136" ht="12.75" customHeight="1">
      <c r="A1136" s="175"/>
      <c r="B1136" s="175"/>
      <c r="C1136" s="175"/>
      <c r="D1136" s="176"/>
      <c r="E1136" s="175"/>
      <c r="F1136" s="177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43"/>
      <c r="V1136" s="143"/>
      <c r="W1136" s="143"/>
    </row>
    <row r="1137" ht="12.75" customHeight="1">
      <c r="A1137" s="175"/>
      <c r="B1137" s="175"/>
      <c r="C1137" s="175"/>
      <c r="D1137" s="176"/>
      <c r="E1137" s="175"/>
      <c r="F1137" s="177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43"/>
      <c r="V1137" s="143"/>
      <c r="W1137" s="143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82" t="s">
        <v>130</v>
      </c>
      <c r="B1" s="182" t="s">
        <v>131</v>
      </c>
      <c r="C1" s="182" t="s">
        <v>36</v>
      </c>
      <c r="D1" s="182" t="s">
        <v>132</v>
      </c>
      <c r="E1" s="182" t="s">
        <v>0</v>
      </c>
      <c r="F1" s="182" t="s">
        <v>133</v>
      </c>
      <c r="G1" s="182" t="s">
        <v>134</v>
      </c>
      <c r="H1" s="182" t="s">
        <v>135</v>
      </c>
      <c r="I1" s="182" t="s">
        <v>136</v>
      </c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</row>
    <row r="2">
      <c r="A2" s="184" t="s">
        <v>137</v>
      </c>
      <c r="B2" s="184" t="s">
        <v>138</v>
      </c>
      <c r="C2" s="184" t="s">
        <v>139</v>
      </c>
      <c r="D2" s="185">
        <v>46118.0</v>
      </c>
      <c r="E2" s="184">
        <v>2037.24</v>
      </c>
      <c r="F2" s="184" t="s">
        <v>140</v>
      </c>
      <c r="G2" s="184" t="s">
        <v>141</v>
      </c>
      <c r="H2" s="184" t="s">
        <v>142</v>
      </c>
      <c r="I2" s="184" t="s">
        <v>121</v>
      </c>
    </row>
  </sheetData>
  <drawing r:id="rId1"/>
</worksheet>
</file>