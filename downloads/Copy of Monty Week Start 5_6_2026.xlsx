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<sst xmlns="http://schemas.openxmlformats.org/spreadsheetml/2006/main" count="2883" uniqueCount="128">
  <si>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</si>
  <si>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</si>
  <si>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</si>
  <si>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</si>
  <si>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</si>
  <si>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</si>
  <si>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</si>
  <si>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</si>
  <si>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</si>
  <si>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</si>
  <si>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</si>
  <si>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</si>
  <si>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</si>
  <si>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</si>
  <si>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</si>
  <si>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</si>
  <si>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</si>
  <si>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</si>
  <si>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</si>
  <si>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</si>
  <si>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</si>
  <si>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</si>
  <si>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</si>
  <si>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</si>
  <si>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</si>
  <si>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</si>
  <si>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</si>
  <si>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</si>
  <si>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</si>
  <si>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</si>
  <si>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</si>
  <si>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</si>
  <si>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</si>
  <si>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</si>
  <si>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</si>
  <si>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</si>
  <si>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</si>
  <si>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</si>
  <si>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</si>
  <si>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</si>
  <si>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</si>
  <si>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</si>
  <si>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</si>
  <si>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</si>
  <si>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</si>
  <si>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</si>
  <si>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</si>
  <si>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</si>
  <si>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</si>
  <si>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</si>
  <si>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</si>
  <si>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</si>
  <si>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</si>
  <si>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</si>
  <si>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</si>
  <si>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</si>
  <si>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</si>
  <si>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</si>
  <si>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LA</t>
  </si>
  <si>
    <t>Reiss Dupuis</t>
  </si>
  <si>
    <t>Sabrina Leu</t>
  </si>
  <si>
    <t>Tolu Alualu</t>
  </si>
  <si>
    <t>Sunshine Faimalo</t>
  </si>
  <si>
    <t>Salai Alualu</t>
  </si>
  <si>
    <t>Tamasailau Leutele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</si>
  <si>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</si>
  <si>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</si>
  <si>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</si>
  <si>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</si>
  <si>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</si>
  <si>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</si>
  <si>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</si>
  <si>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</si>
  <si>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</si>
  <si>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</si>
  <si>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</si>
  <si>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</si>
  <si>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</si>
  <si>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</si>
  <si>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</si>
  <si>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</si>
  <si>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</si>
  <si>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</si>
  <si>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</si>
  <si>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</si>
  <si>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</si>
  <si>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</si>
  <si>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</si>
  <si>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</si>
  <si>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BRUCE CAIRL</t>
  </si>
  <si>
    <t>MOHAMMAD SAAD</t>
  </si>
  <si>
    <t>SAAD</t>
  </si>
  <si>
    <t xml:space="preserve">TRIAL  </t>
  </si>
  <si>
    <t>NO</t>
  </si>
  <si>
    <t>TRIALED DUE TO COPD.</t>
  </si>
  <si>
    <t>FL</t>
  </si>
  <si>
    <t xml:space="preserve">MARTIN URENO </t>
  </si>
  <si>
    <t>AFNAN ALFATLWY</t>
  </si>
  <si>
    <t>ALWATAN</t>
  </si>
  <si>
    <t>N/A</t>
  </si>
  <si>
    <t>DIDN'T KNOW HE WAS ENROLLING INTO LIFE INSURANCE/AFFORDABILITY</t>
  </si>
  <si>
    <t>SHIRLEY MACH</t>
  </si>
  <si>
    <t xml:space="preserve">CANNOT AFFORD AT THIS TIME- AC WENT OUT AND COSTING HER OVER 1K TO FIX AND ONLY LIVING ON 1 INCOME. </t>
  </si>
  <si>
    <t>DENNIS/NANCY LEONARD</t>
  </si>
  <si>
    <t>GABRIEL ALSHEEBLAWY</t>
  </si>
  <si>
    <t>PARTIAL TRIAL- CLIENTS DECIDED AGAINST POLICIES. DENNIS STATED THAT THEY HAVE ENOUGH LIFE INSURANCE, WELL OFF, AND HAVE EVERYTHING IN ORDER.</t>
  </si>
  <si>
    <t>DWAYNE BURTON/ANDREA OHARA</t>
  </si>
  <si>
    <t>SERAGE JAMIL</t>
  </si>
  <si>
    <t xml:space="preserve">CLIENTS DECIDED THEY DON'T WANT ANY MORE INSURANCE. </t>
  </si>
  <si>
    <t>LS</t>
  </si>
  <si>
    <t>JIM EICHMAN</t>
  </si>
  <si>
    <t>MEMBER DECIDED HE DIDN'T WANT TO MOVE FORWARD. CONFIRMED WITH ALI SAAD</t>
  </si>
  <si>
    <t xml:space="preserve">LS </t>
  </si>
  <si>
    <t>DESIREE DAVENPORT</t>
  </si>
  <si>
    <t>HASAN NASSER</t>
  </si>
  <si>
    <t>CLIENT CLAIMS INACCURATE PREMIUM, DIDN'T WANT TO MOVE FORWARD.</t>
  </si>
  <si>
    <t>LYNDA DELAIR</t>
  </si>
  <si>
    <t>MEHDI ELKHATIB</t>
  </si>
  <si>
    <t>HER AND HUSBAND DECIDED AGAINST ADJUSTING POLICY. NO LONGER WANTED TO MOVE FORWARD.</t>
  </si>
  <si>
    <t>LISA MUNIZ</t>
  </si>
  <si>
    <t>TRIAL</t>
  </si>
  <si>
    <t>TRIAL DUE TO MS AND RECENT HOSPITALIZATION- VERIFIED BY LISA.</t>
  </si>
  <si>
    <t>ANGELO BARSI</t>
  </si>
  <si>
    <t>AFTER TALKING TO PARENTS, DECIDED TO CANCEL. (22 Y.O.)</t>
  </si>
  <si>
    <t xml:space="preserve">IAN CURRY </t>
  </si>
  <si>
    <t>REWRITING TO DRAFT END OF NXT WK AND THE 28TH OF EVERY MONTH AFTER</t>
  </si>
  <si>
    <t>CHARLES MCENANY</t>
  </si>
  <si>
    <t>SPOKE TO HIM ON 2 DIFF OCCASTIONS, BOTH TIMES TELLING ME HE IS UNSURE ABOUT EVERYTHING AND NEEDS TIME TO MOVE FORWARD. RELAYED MESSAGE TO AGENT AND MANAGER, WAS ADVISED TO CANCEL.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</si>
</sst>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5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43766</v>
      </c>
      <c r="D2" s="9"/>
      <c r="E2" s="8">
        <f t="shared" ref="E2:R2" si="1">SUM(E5,E11)</f>
        <v>37778</v>
      </c>
      <c r="F2" s="8">
        <f t="shared" si="1"/>
        <v>140</v>
      </c>
      <c r="G2" s="10">
        <f t="shared" si="1"/>
        <v>71</v>
      </c>
      <c r="H2" s="10">
        <f t="shared" si="1"/>
        <v>26</v>
      </c>
      <c r="I2" s="10">
        <f t="shared" si="1"/>
        <v>10</v>
      </c>
      <c r="J2" s="10">
        <f t="shared" si="1"/>
        <v>7</v>
      </c>
      <c r="K2" s="10">
        <f t="shared" si="1"/>
        <v>23</v>
      </c>
      <c r="L2" s="10">
        <f t="shared" si="1"/>
        <v>12</v>
      </c>
      <c r="M2" s="10">
        <f t="shared" si="1"/>
        <v>209</v>
      </c>
      <c r="N2" s="10">
        <f t="shared" si="1"/>
        <v>11</v>
      </c>
      <c r="O2" s="10">
        <f t="shared" si="1"/>
        <v>4</v>
      </c>
      <c r="P2" s="10">
        <f t="shared" si="1"/>
        <v>24</v>
      </c>
      <c r="Q2" s="10">
        <f t="shared" si="1"/>
        <v>9</v>
      </c>
      <c r="R2" s="10">
        <f t="shared" si="1"/>
        <v>19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1683.307692</v>
      </c>
      <c r="F4" s="20">
        <f>IFERROR((G2+R2)/F2,0)</f>
        <v>0.6428571429</v>
      </c>
      <c r="G4" s="20">
        <f>IFERROR(H2/G2,0)</f>
        <v>0.3661971831</v>
      </c>
      <c r="H4" s="19">
        <f>(C2/C4)</f>
        <v>1287.235294</v>
      </c>
      <c r="I4" s="21"/>
      <c r="J4" s="20">
        <f>IFERROR(J2/I2,0)</f>
        <v>0.7</v>
      </c>
      <c r="K4" s="21"/>
      <c r="L4" s="20">
        <f>IFERROR(L2/K2,0)</f>
        <v>0.5217391304</v>
      </c>
      <c r="M4" s="22">
        <f>IFERROR(M2/G2,0)</f>
        <v>2.943661972</v>
      </c>
      <c r="N4" s="21"/>
      <c r="O4" s="20">
        <f>IFERROR(O2/N2,0)</f>
        <v>0.3636363636</v>
      </c>
      <c r="P4" s="22"/>
      <c r="Q4" s="20">
        <f>IFERROR(Q2/P2,0)</f>
        <v>0.375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43766</v>
      </c>
      <c r="D5" s="26"/>
      <c r="E5" s="27">
        <f>SUMIFS(T:T,A:A,B5,D:D,"Y")</f>
        <v>37778</v>
      </c>
      <c r="F5" s="8">
        <f>SUMIF(A:A,B5,G:G)</f>
        <v>140</v>
      </c>
      <c r="G5" s="10">
        <f>SUMIF(A:A,B5,H:H)</f>
        <v>71</v>
      </c>
      <c r="H5" s="10">
        <f>SUMIF(A:A,B5,I:I)</f>
        <v>26</v>
      </c>
      <c r="I5" s="10">
        <f>SUMIF(A:A,B5,P:P)</f>
        <v>10</v>
      </c>
      <c r="J5" s="10">
        <f>SUMIF(A:A,B5,Q:Q)</f>
        <v>7</v>
      </c>
      <c r="K5" s="10">
        <f>SUMIF(A:A,B5,R:R)</f>
        <v>23</v>
      </c>
      <c r="L5" s="10">
        <f>SUMIF(A:A,B5,S:S)</f>
        <v>12</v>
      </c>
      <c r="M5" s="10">
        <f>SUMIF(A:A,B5,M:M)</f>
        <v>209</v>
      </c>
      <c r="N5" s="10">
        <f>SUMIF(A:A,B5,N:N)</f>
        <v>11</v>
      </c>
      <c r="O5" s="10">
        <f>SUMIF(A:A,B5,O:O)</f>
        <v>4</v>
      </c>
      <c r="P5" s="10">
        <f>SUMIF(A:A,B5,J:J)</f>
        <v>24</v>
      </c>
      <c r="Q5" s="10">
        <f>SUMIF(A:A,B5,K:K)</f>
        <v>9</v>
      </c>
      <c r="R5" s="10">
        <f>SUMIF(A:A,B5,L:L)</f>
        <v>19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1683.307692</v>
      </c>
      <c r="F7" s="20">
        <f>IFERROR((G5+R5)/F5,0)</f>
        <v>0.6428571429</v>
      </c>
      <c r="G7" s="20">
        <f>IFERROR(H5/G5,0)</f>
        <v>0.3661971831</v>
      </c>
      <c r="H7" s="19">
        <f>(C5/C7)</f>
        <v>2574.470588</v>
      </c>
      <c r="I7" s="21"/>
      <c r="J7" s="20">
        <f>IFERROR(J5/I5,0)</f>
        <v>0.7</v>
      </c>
      <c r="K7" s="21"/>
      <c r="L7" s="20">
        <f>IFERROR(L5/K5,0)</f>
        <v>0.5217391304</v>
      </c>
      <c r="M7" s="22">
        <f>IFERROR(M5/SUM(R5+G5,0),"")</f>
        <v>2.322222222</v>
      </c>
      <c r="N7" s="21"/>
      <c r="O7" s="20">
        <f>IFERROR(O5/N5,0)</f>
        <v>0.3636363636</v>
      </c>
      <c r="P7" s="22"/>
      <c r="Q7" s="20">
        <f>IFERROR(Q5/P5,0)</f>
        <v>0.375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43766</v>
      </c>
      <c r="D8" s="36"/>
      <c r="E8" s="37">
        <f>SUMIFS(T:T,B:B,B8,D:D,"Y")</f>
        <v>37778</v>
      </c>
      <c r="F8" s="38">
        <f>SUMIF(B19:B1033,B8,G19:G1033)</f>
        <v>140</v>
      </c>
      <c r="G8" s="39">
        <f>SUMIF(B19:B1033,B8,H19:H1033)</f>
        <v>71</v>
      </c>
      <c r="H8" s="38">
        <f>SUMIF(B19:B1033,B8,I19:I1033)</f>
        <v>26</v>
      </c>
      <c r="I8" s="39">
        <f>SUMIF(B19:B1033,B8,P19:P1033)</f>
        <v>10</v>
      </c>
      <c r="J8" s="39">
        <f>SUMIF(B19:B1033,B8,Q19:Q1033)</f>
        <v>7</v>
      </c>
      <c r="K8" s="39">
        <f>SUMIF(B19:B1033,B8,R19:R1033)</f>
        <v>23</v>
      </c>
      <c r="L8" s="39">
        <f>SUMIF(B19:B1033,B8,S19:S1033)</f>
        <v>12</v>
      </c>
      <c r="M8" s="39">
        <f>SUMIF(B19:B1033,B8,M19:M1033)</f>
        <v>209</v>
      </c>
      <c r="N8" s="39">
        <f>SUMIF(B19:B1033,B8,N19:N1033)</f>
        <v>11</v>
      </c>
      <c r="O8" s="38">
        <f>SUMIF(B19:B1033,B8,O19:O1033)</f>
        <v>4</v>
      </c>
      <c r="P8" s="39">
        <f>SUMIF(B19:B1033,B8,J19:J1033)</f>
        <v>24</v>
      </c>
      <c r="Q8" s="39">
        <f>SUMIF(B19:B1033,B8,K19:K1033)</f>
        <v>9</v>
      </c>
      <c r="R8" s="38">
        <f>SUMIF(B19:B1033,B8,L19:L1033)</f>
        <v>19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COUNTIFS(B19:B1033,B8)</f>
        <v>16</v>
      </c>
      <c r="D10" s="42"/>
      <c r="E10" s="50">
        <f>IFERROR(C8/H8,0)</f>
        <v>1683.307692</v>
      </c>
      <c r="F10" s="51">
        <f>IFERROR((G8+R8)/F8,0)</f>
        <v>0.6428571429</v>
      </c>
      <c r="G10" s="51">
        <f>IFERROR(H8/G8,0)</f>
        <v>0.3661971831</v>
      </c>
      <c r="H10" s="50">
        <f>(C8/C10)</f>
        <v>2735.375</v>
      </c>
      <c r="I10" s="46"/>
      <c r="J10" s="51">
        <f>IFERROR(J8/I8,0)</f>
        <v>0.7</v>
      </c>
      <c r="K10" s="46"/>
      <c r="L10" s="51">
        <f>IFERROR(L8/K8,0)</f>
        <v>0.5217391304</v>
      </c>
      <c r="M10" s="52">
        <f>IFERROR(M8/SUM(G8+R8,0),"")</f>
        <v>2.322222222</v>
      </c>
      <c r="N10" s="46"/>
      <c r="O10" s="51">
        <f>IFERROR(O8/N8,0)</f>
        <v>0.3636363636</v>
      </c>
      <c r="P10" s="53"/>
      <c r="Q10" s="51">
        <f>IFERROR(Q8/P8,0)</f>
        <v>0.375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SUMIF(B19:B1033,B14,G19:G1033)</f>
        <v>0</v>
      </c>
      <c r="G14" s="39">
        <f>SUMIF(B19:B1033,B14,H19:H1033)</f>
        <v>0</v>
      </c>
      <c r="H14" s="38">
        <f>SUMIF(B19:B1033,B14,I19:I1033)</f>
        <v>0</v>
      </c>
      <c r="I14" s="39">
        <f>SUMIF(B19:B1033,B14,P19:P1033)</f>
        <v>0</v>
      </c>
      <c r="J14" s="39">
        <f>SUMIF(B19:B1033,B14,Q19:Q1033)</f>
        <v>0</v>
      </c>
      <c r="K14" s="39">
        <f>SUMIF(B19:B1033,B14,R19:R1033)</f>
        <v>0</v>
      </c>
      <c r="L14" s="39">
        <f>SUMIF(B19:B1033,B14,S19:S1033)</f>
        <v>0</v>
      </c>
      <c r="M14" s="39">
        <f>SUMIF(B19:B1033,B14,M19:M1033)</f>
        <v>0</v>
      </c>
      <c r="N14" s="39">
        <f>SUMIF(B19:B1033,B14,N19:N1033)</f>
        <v>0</v>
      </c>
      <c r="O14" s="38">
        <f>SUMIF(B19:B1033,B14,O19:O1033)</f>
        <v>0</v>
      </c>
      <c r="P14" s="39">
        <f>SUMIF(B19:B1033,B14,J19:J1033)</f>
        <v>0</v>
      </c>
      <c r="Q14" s="39">
        <f>SUMIF(B19:B1033,B14,K19:K1033)</f>
        <v>0</v>
      </c>
      <c r="R14" s="38">
        <f>SUMIF(B19:B1033,B14,L19:L1033)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COUNTIFS(B19:B1033,B14)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18</v>
      </c>
      <c r="H21" s="65">
        <f>('Thurs (2)'!H21+Thurs!H21+'Tues '!H21+Wed!H21+Fri!H21+'Mon '!H21+'Wed (2)'!H21+Sun!H21+Sat!H21)</f>
        <v>9</v>
      </c>
      <c r="I21" s="65">
        <f>('Thurs (2)'!I21+Thurs!I21+'Tues '!I21+Wed!I21+Fri!I21+'Mon '!I21+'Wed (2)'!I21+Sun!I21+Sat!I21)</f>
        <v>7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12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9</v>
      </c>
      <c r="Q21" s="65">
        <f>('Thurs (2)'!Q21+Thurs!Q21+'Tues '!Q21+Wed!Q21+Fri!Q21+'Mon '!Q21+'Wed (2)'!Q21+Sun!Q21+Sat!Q21)</f>
        <v>7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11283</v>
      </c>
      <c r="U21" s="66">
        <f t="shared" si="2"/>
        <v>0.7777777778</v>
      </c>
      <c r="V21" s="66">
        <f t="shared" si="3"/>
        <v>0.5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18</v>
      </c>
      <c r="H22" s="65">
        <f>('Thurs (2)'!H22+Thurs!H22+'Tues '!H22+Wed!H22+Fri!H22+'Mon '!H22+'Wed (2)'!H22+Sun!H22+Sat!H22)</f>
        <v>5</v>
      </c>
      <c r="I22" s="65">
        <f>('Thurs (2)'!I22+Thurs!I22+'Tues '!I22+Wed!I22+Fri!I22+'Mon '!I22+'Wed (2)'!I22+Sun!I22+Sat!I22)</f>
        <v>3</v>
      </c>
      <c r="J22" s="65">
        <f>('Thurs (2)'!J22+Thurs!J22+'Tues '!J22+Wed!J22+Fri!J22+'Mon '!J22+'Wed (2)'!J22+Sun!J22+Sat!J22)</f>
        <v>1</v>
      </c>
      <c r="K22" s="65">
        <f>('Thurs (2)'!K22+Thurs!K22+'Tues '!K22+Wed!K22+Fri!K22+'Mon '!K22+'Wed (2)'!K22+Sun!K22+Sat!K22)</f>
        <v>1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11</v>
      </c>
      <c r="N22" s="65">
        <f>('Thurs (2)'!N22+Thurs!N22+'Tues '!N22+Wed!N22+Fri!N22+'Mon '!N22+'Wed (2)'!N22+Sun!N22+Sat!N22)</f>
        <v>1</v>
      </c>
      <c r="O22" s="65">
        <f>('Thurs (2)'!O22+Thurs!O22+'Tues '!O22+Wed!O22+Fri!O22+'Mon '!O22+'Wed (2)'!O22+Sun!O22+Sat!O22)</f>
        <v>1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4072</v>
      </c>
      <c r="U22" s="66">
        <f t="shared" si="2"/>
        <v>0.6</v>
      </c>
      <c r="V22" s="66">
        <f t="shared" si="3"/>
        <v>0.2777777778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1</v>
      </c>
      <c r="H23" s="65">
        <f>('Thurs (2)'!H23+Thurs!H23+'Tues '!H23+Wed!H23+Fri!H23+'Mon '!H23+'Wed (2)'!H23+Sun!H23+Sat!H23)</f>
        <v>1</v>
      </c>
      <c r="I23" s="65">
        <f>('Thurs (2)'!I23+Thurs!I23+'Tues '!I23+Wed!I23+Fri!I23+'Mon '!I23+'Wed (2)'!I23+Sun!I23+Sat!I23)</f>
        <v>1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2</v>
      </c>
      <c r="N23" s="65">
        <f>('Thurs (2)'!N23+Thurs!N23+'Tues '!N23+Wed!N23+Fri!N23+'Mon '!N23+'Wed (2)'!N23+Sun!N23+Sat!N23)</f>
        <v>1</v>
      </c>
      <c r="O23" s="65">
        <f>('Thurs (2)'!O23+Thurs!O23+'Tues '!O23+Wed!O23+Fri!O23+'Mon '!O23+'Wed (2)'!O23+Sun!O23+Sat!O23)</f>
        <v>1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1764</v>
      </c>
      <c r="U23" s="66">
        <f t="shared" si="2"/>
        <v>1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41</v>
      </c>
      <c r="H24" s="65">
        <f>('Thurs (2)'!H24+Thurs!H24+'Tues '!H24+Wed!H24+Fri!H24+'Mon '!H24+'Wed (2)'!H24+Sun!H24+Sat!H24)</f>
        <v>19</v>
      </c>
      <c r="I24" s="65">
        <f>('Thurs (2)'!I24+Thurs!I24+'Tues '!I24+Wed!I24+Fri!I24+'Mon '!I24+'Wed (2)'!I24+Sun!I24+Sat!I24)</f>
        <v>8</v>
      </c>
      <c r="J24" s="65">
        <f>('Thurs (2)'!J24+Thurs!J24+'Tues '!J24+Wed!J24+Fri!J24+'Mon '!J24+'Wed (2)'!J24+Sun!J24+Sat!J24)</f>
        <v>4</v>
      </c>
      <c r="K24" s="65">
        <f>('Thurs (2)'!K24+Thurs!K24+'Tues '!K24+Wed!K24+Fri!K24+'Mon '!K24+'Wed (2)'!K24+Sun!K24+Sat!K24)</f>
        <v>3</v>
      </c>
      <c r="L24" s="65">
        <f>('Thurs (2)'!L24+Thurs!L24+'Tues '!L24+Wed!L24+Fri!L24+'Mon '!L24+'Wed (2)'!L24+Sun!L24+Sat!L24)</f>
        <v>5</v>
      </c>
      <c r="M24" s="65">
        <f>('Thurs (2)'!M24+Thurs!M24+'Tues '!M24+Wed!M24+Fri!M24+'Mon '!M24+'Wed (2)'!M24+Sun!M24+Sat!M24)</f>
        <v>23</v>
      </c>
      <c r="N24" s="65">
        <f>('Thurs (2)'!N24+Thurs!N24+'Tues '!N24+Wed!N24+Fri!N24+'Mon '!N24+'Wed (2)'!N24+Sun!N24+Sat!N24)</f>
        <v>2</v>
      </c>
      <c r="O24" s="65">
        <f>('Thurs (2)'!O24+Thurs!O24+'Tues '!O24+Wed!O24+Fri!O24+'Mon '!O24+'Wed (2)'!O24+Sun!O24+Sat!O24)</f>
        <v>2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10</v>
      </c>
      <c r="S24" s="65">
        <f>('Thurs (2)'!S24+Thurs!S24+'Tues '!S24+Wed!S24+Fri!S24+'Mon '!S24+'Wed (2)'!S24+Sun!S24+Sat!S24)</f>
        <v>6</v>
      </c>
      <c r="T24" s="65">
        <f>('Thurs (2)'!T24+Thurs!T24+'Tues '!T24+Wed!T24+Fri!T24+'Mon '!T24+'Wed (2)'!T24+Sun!T24+Sat!T24)</f>
        <v>17046</v>
      </c>
      <c r="U24" s="66">
        <f t="shared" si="2"/>
        <v>0.4210526316</v>
      </c>
      <c r="V24" s="66">
        <f t="shared" si="3"/>
        <v>0.5853658537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3</v>
      </c>
      <c r="H25" s="65">
        <f>('Thurs (2)'!H25+Thurs!H25+'Tues '!H25+Wed!H25+Fri!H25+'Mon '!H25+'Wed (2)'!H25+Sun!H25+Sat!H25)</f>
        <v>2</v>
      </c>
      <c r="I25" s="65">
        <f>('Thurs (2)'!I25+Thurs!I25+'Tues '!I25+Wed!I25+Fri!I25+'Mon '!I25+'Wed (2)'!I25+Sun!I25+Sat!I25)</f>
        <v>1</v>
      </c>
      <c r="J25" s="65">
        <f>('Thurs (2)'!J25+Thurs!J25+'Tues '!J25+Wed!J25+Fri!J25+'Mon '!J25+'Wed (2)'!J25+Sun!J25+Sat!J25)</f>
        <v>2</v>
      </c>
      <c r="K25" s="65">
        <f>('Thurs (2)'!K25+Thurs!K25+'Tues '!K25+Wed!K25+Fri!K25+'Mon '!K25+'Wed (2)'!K25+Sun!K25+Sat!K25)</f>
        <v>1</v>
      </c>
      <c r="L25" s="65">
        <f>('Thurs (2)'!L25+Thurs!L25+'Tues '!L25+Wed!L25+Fri!L25+'Mon '!L25+'Wed (2)'!L25+Sun!L25+Sat!L25)</f>
        <v>1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1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1</v>
      </c>
      <c r="S25" s="65">
        <f>('Thurs (2)'!S25+Thurs!S25+'Tues '!S25+Wed!S25+Fri!S25+'Mon '!S25+'Wed (2)'!S25+Sun!S25+Sat!S25)</f>
        <v>1</v>
      </c>
      <c r="T25" s="65">
        <f>('Thurs (2)'!T25+Thurs!T25+'Tues '!T25+Wed!T25+Fri!T25+'Mon '!T25+'Wed (2)'!T25+Sun!T25+Sat!T25)</f>
        <v>800</v>
      </c>
      <c r="U25" s="66">
        <f t="shared" si="2"/>
        <v>0.5</v>
      </c>
      <c r="V25" s="66">
        <f t="shared" si="3"/>
        <v>1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36</v>
      </c>
      <c r="H28" s="65">
        <f>('Thurs (2)'!H28+Thurs!H28+'Tues '!H28+Wed!H28+Fri!H28+'Mon '!H28+'Wed (2)'!H28+Sun!H28+Sat!H28)</f>
        <v>8</v>
      </c>
      <c r="I28" s="65">
        <f>('Thurs (2)'!I28+Thurs!I28+'Tues '!I28+Wed!I28+Fri!I28+'Mon '!I28+'Wed (2)'!I28+Sun!I28+Sat!I28)</f>
        <v>4</v>
      </c>
      <c r="J28" s="65">
        <f>('Thurs (2)'!J28+Thurs!J28+'Tues '!J28+Wed!J28+Fri!J28+'Mon '!J28+'Wed (2)'!J28+Sun!J28+Sat!J28)</f>
        <v>9</v>
      </c>
      <c r="K28" s="65">
        <f>('Thurs (2)'!K28+Thurs!K28+'Tues '!K28+Wed!K28+Fri!K28+'Mon '!K28+'Wed (2)'!K28+Sun!K28+Sat!K28)</f>
        <v>4</v>
      </c>
      <c r="L28" s="65">
        <f>('Thurs (2)'!L28+Thurs!L28+'Tues '!L28+Wed!L28+Fri!L28+'Mon '!L28+'Wed (2)'!L28+Sun!L28+Sat!L28)</f>
        <v>4</v>
      </c>
      <c r="M28" s="65">
        <f>('Thurs (2)'!M28+Thurs!M28+'Tues '!M28+Wed!M28+Fri!M28+'Mon '!M28+'Wed (2)'!M28+Sun!M28+Sat!M28)</f>
        <v>57</v>
      </c>
      <c r="N28" s="65">
        <f>('Thurs (2)'!N28+Thurs!N28+'Tues '!N28+Wed!N28+Fri!N28+'Mon '!N28+'Wed (2)'!N28+Sun!N28+Sat!N28)</f>
        <v>0</v>
      </c>
      <c r="O28" s="65">
        <f>('Thurs (2)'!O28+Thurs!O28+'Tues '!O28+Wed!O28+Fri!O28+'Mon '!O28+'Wed (2)'!O28+Sun!O28+Sat!O28)</f>
        <v>0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9</v>
      </c>
      <c r="S28" s="65">
        <f>('Thurs (2)'!S28+Thurs!S28+'Tues '!S28+Wed!S28+Fri!S28+'Mon '!S28+'Wed (2)'!S28+Sun!S28+Sat!S28)</f>
        <v>4</v>
      </c>
      <c r="T28" s="65">
        <f>('Thurs (2)'!T28+Thurs!T28+'Tues '!T28+Wed!T28+Fri!T28+'Mon '!T28+'Wed (2)'!T28+Sun!T28+Sat!T28)</f>
        <v>5377</v>
      </c>
      <c r="U28" s="66">
        <f t="shared" si="2"/>
        <v>0.5</v>
      </c>
      <c r="V28" s="66">
        <f t="shared" si="3"/>
        <v>0.3333333333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3</v>
      </c>
      <c r="H29" s="65">
        <f>('Thurs (2)'!H29+Thurs!H29+'Tues '!H29+Wed!H29+Fri!H29+'Mon '!H29+'Wed (2)'!H29+Sun!H29+Sat!H29)</f>
        <v>15</v>
      </c>
      <c r="I29" s="65">
        <f>('Thurs (2)'!I29+Thurs!I29+'Tues '!I29+Wed!I29+Fri!I29+'Mon '!I29+'Wed (2)'!I29+Sun!I29+Sat!I29)</f>
        <v>1</v>
      </c>
      <c r="J29" s="65">
        <f>('Thurs (2)'!J29+Thurs!J29+'Tues '!J29+Wed!J29+Fri!J29+'Mon '!J29+'Wed (2)'!J29+Sun!J29+Sat!J29)</f>
        <v>6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60</v>
      </c>
      <c r="N29" s="65">
        <f>('Thurs (2)'!N29+Thurs!N29+'Tues '!N29+Wed!N29+Fri!N29+'Mon '!N29+'Wed (2)'!N29+Sun!N29+Sat!N29)</f>
        <v>6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2</v>
      </c>
      <c r="S29" s="65">
        <f>('Thurs (2)'!S29+Thurs!S29+'Tues '!S29+Wed!S29+Fri!S29+'Mon '!S29+'Wed (2)'!S29+Sun!S29+Sat!S29)</f>
        <v>1</v>
      </c>
      <c r="T29" s="65">
        <f>('Thurs (2)'!T29+Thurs!T29+'Tues '!T29+Wed!T29+Fri!T29+'Mon '!T29+'Wed (2)'!T29+Sun!T29+Sat!T29)</f>
        <v>1864</v>
      </c>
      <c r="U29" s="66">
        <f t="shared" si="2"/>
        <v>0.06666666667</v>
      </c>
      <c r="V29" s="66">
        <f t="shared" si="3"/>
        <v>5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3</v>
      </c>
      <c r="H30" s="65">
        <f>('Thurs (2)'!H30+Thurs!H30+'Tues '!H30+Wed!H30+Fri!H30+'Mon '!H30+'Wed (2)'!H30+Sun!H30+Sat!H30)</f>
        <v>6</v>
      </c>
      <c r="I30" s="65">
        <f>('Thurs (2)'!I30+Thurs!I30+'Tues '!I30+Wed!I30+Fri!I30+'Mon '!I30+'Wed (2)'!I30+Sun!I30+Sat!I30)</f>
        <v>1</v>
      </c>
      <c r="J30" s="65">
        <f>('Thurs (2)'!J30+Thurs!J30+'Tues '!J30+Wed!J30+Fri!J30+'Mon '!J30+'Wed (2)'!J30+Sun!J30+Sat!J30)</f>
        <v>1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9</v>
      </c>
      <c r="M30" s="65">
        <f>('Thurs (2)'!M30+Thurs!M30+'Tues '!M30+Wed!M30+Fri!M30+'Mon '!M30+'Wed (2)'!M30+Sun!M30+Sat!M30)</f>
        <v>8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1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1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1560</v>
      </c>
      <c r="U30" s="66">
        <f t="shared" si="2"/>
        <v>0.1666666667</v>
      </c>
      <c r="V30" s="66">
        <f t="shared" si="3"/>
        <v>5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>
        <f>('Thurs (2)'!G31+Thurs!G31+'Tues '!G31+Wed!G31+Fri!G31+'Mon '!G31+'Wed (2)'!G31+Sun!G31+Sat!G31)</f>
        <v>17</v>
      </c>
      <c r="H31" s="65">
        <f>('Thurs (2)'!H31+Thurs!H31+'Tues '!H31+Wed!H31+Fri!H31+'Mon '!H31+'Wed (2)'!H31+Sun!H31+Sat!H31)</f>
        <v>6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1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36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0.3529411765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>
        <f>('Thurs (2)'!G41+Thurs!G41+'Tues '!G41+Wed!G41+Fri!G41+'Mon '!G41+'Wed (2)'!G41+Sun!G41+Sat!G41)</f>
        <v>0</v>
      </c>
      <c r="H41" s="65">
        <f>('Thurs (2)'!H41+Thurs!H41+'Tues '!H41+Wed!H41+Fri!H41+'Mon '!H41+'Wed (2)'!H41+Sun!H41+Sat!H41)</f>
        <v>0</v>
      </c>
      <c r="I41" s="65">
        <f>('Thurs (2)'!I41+Thurs!I41+'Tues '!I41+Wed!I41+Fri!I41+'Mon '!I41+'Wed (2)'!I41+Sun!I41+Sat!I41)</f>
        <v>0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0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>
        <f>('Thurs (2)'!G44+Thurs!G44+'Tues '!G44+Wed!G44+Fri!G44+'Mon '!G44+'Wed (2)'!G44+Sun!G44+Sat!G44)</f>
        <v>0</v>
      </c>
      <c r="H44" s="65">
        <f>('Thurs (2)'!H44+Thurs!H44+'Tues '!H44+Wed!H44+Fri!H44+'Mon '!H44+'Wed (2)'!H44+Sun!H44+Sat!H44)</f>
        <v>0</v>
      </c>
      <c r="I44" s="65">
        <f>('Thurs (2)'!I44+Thurs!I44+'Tues '!I44+Wed!I44+Fri!I44+'Mon '!I44+'Wed (2)'!I44+Sun!I44+Sat!I44)</f>
        <v>0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0</v>
      </c>
      <c r="S44" s="65">
        <f>('Thurs (2)'!S44+Thurs!S44+'Tues '!S44+Wed!S44+Fri!S44+'Mon '!S44+'Wed (2)'!S44+Sun!S44+Sat!S44)</f>
        <v>0</v>
      </c>
      <c r="T44" s="65">
        <f>('Thurs (2)'!T44+Thurs!T44+'Tues '!T44+Wed!T44+Fri!T44+'Mon '!T44+'Wed (2)'!T44+Sun!T44+Sat!T44)</f>
        <v>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>
        <f>('Thurs (2)'!G51+Thurs!G51+'Tues '!G51+Wed!G51+Fri!G51+'Mon '!G51+'Wed (2)'!G51+Sun!G51+Sat!G51)</f>
        <v>0</v>
      </c>
      <c r="H51" s="65">
        <f>('Thurs (2)'!H51+Thurs!H51+'Tues '!H51+Wed!H51+Fri!H51+'Mon '!H51+'Wed (2)'!H51+Sun!H51+Sat!H51)</f>
        <v>0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0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0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0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>
        <f>('Thurs (2)'!G52+Thurs!G52+'Tues '!G52+Wed!G52+Fri!G52+'Mon '!G52+'Wed (2)'!G52+Sun!G52+Sat!G52)</f>
        <v>0</v>
      </c>
      <c r="H52" s="65">
        <f>('Thurs (2)'!H52+Thurs!H52+'Tues '!H52+Wed!H52+Fri!H52+'Mon '!H52+'Wed (2)'!H52+Sun!H52+Sat!H52)</f>
        <v>0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0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0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>
        <f>('Thurs (2)'!G53+Thurs!G53+'Tues '!G53+Wed!G53+Fri!G53+'Mon '!G53+'Wed (2)'!G53+Sun!G53+Sat!G53)</f>
        <v>0</v>
      </c>
      <c r="H53" s="65">
        <f>('Thurs (2)'!H53+Thurs!H53+'Tues '!H53+Wed!H53+Fri!H53+'Mon '!H53+'Wed (2)'!H53+Sun!H53+Sat!H53)</f>
        <v>0</v>
      </c>
      <c r="I53" s="65">
        <f>('Thurs (2)'!I53+Thurs!I53+'Tues '!I53+Wed!I53+Fri!I53+'Mon '!I53+'Wed (2)'!I53+Sun!I53+Sat!I53)</f>
        <v>0</v>
      </c>
      <c r="J53" s="65">
        <f>('Thurs (2)'!J53+Thurs!J53+'Tues '!J53+Wed!J53+Fri!J53+'Mon '!J53+'Wed (2)'!J53+Sun!J53+Sat!J53)</f>
        <v>0</v>
      </c>
      <c r="K53" s="65">
        <f>('Thurs (2)'!K53+Thurs!K53+'Tues '!K53+Wed!K53+Fri!K53+'Mon '!K53+'Wed (2)'!K53+Sun!K53+Sat!K53)</f>
        <v>0</v>
      </c>
      <c r="L53" s="65">
        <f>('Thurs (2)'!L53+Thurs!L53+'Tues '!L53+Wed!L53+Fri!L53+'Mon '!L53+'Wed (2)'!L53+Sun!L53+Sat!L53)</f>
        <v>0</v>
      </c>
      <c r="M53" s="65">
        <f>('Thurs (2)'!M53+Thurs!M53+'Tues '!M53+Wed!M53+Fri!M53+'Mon '!M53+'Wed (2)'!M53+Sun!M53+Sat!M53)</f>
        <v>0</v>
      </c>
      <c r="N53" s="65">
        <f>('Thurs (2)'!N53+Thurs!N53+'Tues '!N53+Wed!N53+Fri!N53+'Mon '!N53+'Wed (2)'!N53+Sun!N53+Sat!N53)</f>
        <v>0</v>
      </c>
      <c r="O53" s="65">
        <f>('Thurs (2)'!O53+Thurs!O53+'Tues '!O53+Wed!O53+Fri!O53+'Mon '!O53+'Wed (2)'!O53+Sun!O53+Sat!O53)</f>
        <v>0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0</v>
      </c>
      <c r="S53" s="65">
        <f>('Thurs (2)'!S53+Thurs!S53+'Tues '!S53+Wed!S53+Fri!S53+'Mon '!S53+'Wed (2)'!S53+Sun!S53+Sat!S53)</f>
        <v>0</v>
      </c>
      <c r="T53" s="65">
        <f>('Thurs (2)'!T53+Thurs!T53+'Tues '!T53+Wed!T53+Fri!T53+'Mon '!T53+'Wed (2)'!T53+Sun!T53+Sat!T53)</f>
        <v>0</v>
      </c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>
        <f>('Thurs (2)'!G54+Thurs!G54+'Tues '!G54+Wed!G54+Fri!G54+'Mon '!G54+'Wed (2)'!G54+Sun!G54+Sat!G54)</f>
        <v>0</v>
      </c>
      <c r="H54" s="65">
        <f>('Thurs (2)'!H54+Thurs!H54+'Tues '!H54+Wed!H54+Fri!H54+'Mon '!H54+'Wed (2)'!H54+Sun!H54+Sat!H54)</f>
        <v>0</v>
      </c>
      <c r="I54" s="65">
        <f>('Thurs (2)'!I54+Thurs!I54+'Tues '!I54+Wed!I54+Fri!I54+'Mon '!I54+'Wed (2)'!I54+Sun!I54+Sat!I54)</f>
        <v>0</v>
      </c>
      <c r="J54" s="65">
        <f>('Thurs (2)'!J54+Thurs!J54+'Tues '!J54+Wed!J54+Fri!J54+'Mon '!J54+'Wed (2)'!J54+Sun!J54+Sat!J54)</f>
        <v>0</v>
      </c>
      <c r="K54" s="65">
        <f>('Thurs (2)'!K54+Thurs!K54+'Tues '!K54+Wed!K54+Fri!K54+'Mon '!K54+'Wed (2)'!K54+Sun!K54+Sat!K54)</f>
        <v>0</v>
      </c>
      <c r="L54" s="65">
        <f>('Thurs (2)'!L54+Thurs!L54+'Tues '!L54+Wed!L54+Fri!L54+'Mon '!L54+'Wed (2)'!L54+Sun!L54+Sat!L54)</f>
        <v>0</v>
      </c>
      <c r="M54" s="65">
        <f>('Thurs (2)'!M54+Thurs!M54+'Tues '!M54+Wed!M54+Fri!M54+'Mon '!M54+'Wed (2)'!M54+Sun!M54+Sat!M54)</f>
        <v>0</v>
      </c>
      <c r="N54" s="65">
        <f>('Thurs (2)'!N54+Thurs!N54+'Tues '!N54+Wed!N54+Fri!N54+'Mon '!N54+'Wed (2)'!N54+Sun!N54+Sat!N54)</f>
        <v>0</v>
      </c>
      <c r="O54" s="65">
        <f>('Thurs (2)'!O54+Thurs!O54+'Tues '!O54+Wed!O54+Fri!O54+'Mon '!O54+'Wed (2)'!O54+Sun!O54+Sat!O54)</f>
        <v>0</v>
      </c>
      <c r="P54" s="65">
        <f>('Thurs (2)'!P54+Thurs!P54+'Tues '!P54+Wed!P54+Fri!P54+'Mon '!P54+'Wed (2)'!P54+Sun!P54+Sat!P54)</f>
        <v>0</v>
      </c>
      <c r="Q54" s="65">
        <f>('Thurs (2)'!Q54+Thurs!Q54+'Tues '!Q54+Wed!Q54+Fri!Q54+'Mon '!Q54+'Wed (2)'!Q54+Sun!Q54+Sat!Q54)</f>
        <v>0</v>
      </c>
      <c r="R54" s="65">
        <f>('Thurs (2)'!R54+Thurs!R54+'Tues '!R54+Wed!R54+Fri!R54+'Mon '!R54+'Wed (2)'!R54+Sun!R54+Sat!R54)</f>
        <v>0</v>
      </c>
      <c r="S54" s="65">
        <f>('Thurs (2)'!S54+Thurs!S54+'Tues '!S54+Wed!S54+Fri!S54+'Mon '!S54+'Wed (2)'!S54+Sun!S54+Sat!S54)</f>
        <v>0</v>
      </c>
      <c r="T54" s="65">
        <f>('Thurs (2)'!T54+Thurs!T54+'Tues '!T54+Wed!T54+Fri!T54+'Mon '!T54+'Wed (2)'!T54+Sun!T54+Sat!T54)</f>
        <v>0</v>
      </c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10655</v>
      </c>
      <c r="D2" s="9"/>
      <c r="E2" s="8">
        <f t="shared" ref="E2:R2" si="1">SUM(E5,E11)</f>
        <v>7231</v>
      </c>
      <c r="F2" s="8">
        <f t="shared" si="1"/>
        <v>25</v>
      </c>
      <c r="G2" s="10">
        <f t="shared" si="1"/>
        <v>10</v>
      </c>
      <c r="H2" s="10">
        <f t="shared" si="1"/>
        <v>7</v>
      </c>
      <c r="I2" s="10">
        <f t="shared" si="1"/>
        <v>3</v>
      </c>
      <c r="J2" s="10">
        <f t="shared" si="1"/>
        <v>3</v>
      </c>
      <c r="K2" s="10">
        <f t="shared" si="1"/>
        <v>5</v>
      </c>
      <c r="L2" s="10">
        <f t="shared" si="1"/>
        <v>3</v>
      </c>
      <c r="M2" s="10">
        <f t="shared" si="1"/>
        <v>37</v>
      </c>
      <c r="N2" s="10">
        <f t="shared" si="1"/>
        <v>0</v>
      </c>
      <c r="O2" s="10">
        <f t="shared" si="1"/>
        <v>0</v>
      </c>
      <c r="P2" s="10">
        <f t="shared" si="1"/>
        <v>4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1522.142857</v>
      </c>
      <c r="F4" s="20">
        <f>IFERROR((G2+R2)/F2,0)</f>
        <v>0.44</v>
      </c>
      <c r="G4" s="20">
        <f>IFERROR(H2/G2,0)</f>
        <v>0.7</v>
      </c>
      <c r="H4" s="19">
        <f>(C2/C4)</f>
        <v>313.3823529</v>
      </c>
      <c r="I4" s="21"/>
      <c r="J4" s="20">
        <f>IFERROR(J2/I2,0)</f>
        <v>1</v>
      </c>
      <c r="K4" s="21"/>
      <c r="L4" s="20">
        <f>IFERROR(L2/K2,0)</f>
        <v>0.6</v>
      </c>
      <c r="M4" s="22">
        <f>IFERROR(M2/G2,0)</f>
        <v>3.7</v>
      </c>
      <c r="N4" s="21"/>
      <c r="O4" s="20">
        <f>IFERROR(O2/N2,0)</f>
        <v>0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10655</v>
      </c>
      <c r="D5" s="26"/>
      <c r="E5" s="27">
        <f>SUMIFS(T:T,A:A,B5,D:D,"Y")</f>
        <v>7231</v>
      </c>
      <c r="F5" s="8">
        <f>SUMIF(A:A,B5,G:G)</f>
        <v>25</v>
      </c>
      <c r="G5" s="10">
        <f>SUMIF(A:A,B5,H:H)</f>
        <v>10</v>
      </c>
      <c r="H5" s="10">
        <f>SUMIF(A:A,B5,I:I)</f>
        <v>7</v>
      </c>
      <c r="I5" s="10">
        <f>SUMIF(A:A,B5,P:P)</f>
        <v>3</v>
      </c>
      <c r="J5" s="10">
        <f>SUMIF(A:A,B5,Q:Q)</f>
        <v>3</v>
      </c>
      <c r="K5" s="10">
        <f>SUMIF(A:A,B5,R:R)</f>
        <v>5</v>
      </c>
      <c r="L5" s="10">
        <f>SUMIF(A:A,B5,S:S)</f>
        <v>3</v>
      </c>
      <c r="M5" s="10">
        <f>SUMIF(A:A,B5,M:M)</f>
        <v>37</v>
      </c>
      <c r="N5" s="10">
        <f>SUMIF(A:A,B5,N:N)</f>
        <v>0</v>
      </c>
      <c r="O5" s="10">
        <f>SUMIF(A:A,B5,O:O)</f>
        <v>0</v>
      </c>
      <c r="P5" s="10">
        <f>SUMIF(A:A,B5,J:J)</f>
        <v>4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1522.142857</v>
      </c>
      <c r="F7" s="20">
        <f>IFERROR((G5+R5)/F5,0)</f>
        <v>0.44</v>
      </c>
      <c r="G7" s="20">
        <f>IFERROR(H5/G5,0)</f>
        <v>0.7</v>
      </c>
      <c r="H7" s="19">
        <f>(C5/C7)</f>
        <v>626.7647059</v>
      </c>
      <c r="I7" s="21"/>
      <c r="J7" s="20">
        <f>IFERROR(J5/I5,0)</f>
        <v>1</v>
      </c>
      <c r="K7" s="21"/>
      <c r="L7" s="20">
        <f>IFERROR(L5/K5,0)</f>
        <v>0.6</v>
      </c>
      <c r="M7" s="22">
        <f>IFERROR(M5/SUM(R5+G5,0),"")</f>
        <v>3.363636364</v>
      </c>
      <c r="N7" s="21"/>
      <c r="O7" s="20">
        <f>IFERROR(O5/N5,0)</f>
        <v>0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10655</v>
      </c>
      <c r="D8" s="36"/>
      <c r="E8" s="37">
        <f>SUMIFS(T:T,B:B,B8,D:D,"Y")</f>
        <v>7231</v>
      </c>
      <c r="F8" s="38">
        <f>SUMIF(B19:B1129,B8,G19:G1129)</f>
        <v>25</v>
      </c>
      <c r="G8" s="39">
        <f>SUMIF(B19:B1129,B8,H19:H1129)</f>
        <v>10</v>
      </c>
      <c r="H8" s="38">
        <f>SUMIF(B19:B1129,B8,I19:I1129)</f>
        <v>7</v>
      </c>
      <c r="I8" s="39">
        <f>SUMIF(B19:B1129,B8,P19:P1129)</f>
        <v>3</v>
      </c>
      <c r="J8" s="39">
        <f>SUMIF(B19:B1129,B8,Q19:Q1129)</f>
        <v>3</v>
      </c>
      <c r="K8" s="39">
        <f>SUMIF(B19:B1129,B8,R19:R1129)</f>
        <v>5</v>
      </c>
      <c r="L8" s="39">
        <f>SUMIF(B19:B1129,B8,S19:S1129)</f>
        <v>3</v>
      </c>
      <c r="M8" s="39">
        <f>SUMIF(B19:B1129,B8,M19:M1129)</f>
        <v>37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4</v>
      </c>
      <c r="Q8" s="39">
        <f>SUMIF(B19:B1129,B8,K19:K1129)</f>
        <v>2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1522.142857</v>
      </c>
      <c r="F10" s="51">
        <f>IFERROR((G8+R8)/F8,0)</f>
        <v>0.44</v>
      </c>
      <c r="G10" s="51">
        <f>IFERROR(H8/G8,0)</f>
        <v>0.7</v>
      </c>
      <c r="H10" s="50">
        <f>(C8/C10)</f>
        <v>665.9375</v>
      </c>
      <c r="I10" s="46"/>
      <c r="J10" s="51">
        <f>IFERROR(J8/I8,0)</f>
        <v>1</v>
      </c>
      <c r="K10" s="46"/>
      <c r="L10" s="51">
        <f>IFERROR(L8/K8,0)</f>
        <v>0.6</v>
      </c>
      <c r="M10" s="52">
        <f>IFERROR(M8/SUM(G8+R8,0),"")</f>
        <v>3.363636364</v>
      </c>
      <c r="N10" s="46"/>
      <c r="O10" s="51">
        <f>IFERROR(O8/N8,0)</f>
        <v>0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5.0</v>
      </c>
      <c r="H21" s="105">
        <v>3.0</v>
      </c>
      <c r="I21" s="105">
        <v>3.0</v>
      </c>
      <c r="J21" s="105">
        <v>0.0</v>
      </c>
      <c r="K21" s="105">
        <v>0.0</v>
      </c>
      <c r="L21" s="105">
        <v>0.0</v>
      </c>
      <c r="M21" s="105">
        <v>6.0</v>
      </c>
      <c r="N21" s="105">
        <v>0.0</v>
      </c>
      <c r="O21" s="105">
        <v>0.0</v>
      </c>
      <c r="P21" s="105">
        <v>3.0</v>
      </c>
      <c r="Q21" s="105">
        <v>3.0</v>
      </c>
      <c r="R21" s="105">
        <v>0.0</v>
      </c>
      <c r="S21" s="105">
        <v>0.0</v>
      </c>
      <c r="T21" s="105">
        <v>4625.0</v>
      </c>
      <c r="U21" s="66">
        <f t="shared" si="2"/>
        <v>1</v>
      </c>
      <c r="V21" s="66">
        <f t="shared" si="3"/>
        <v>0.6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1.0</v>
      </c>
      <c r="I22" s="105">
        <v>0.0</v>
      </c>
      <c r="J22" s="105">
        <v>0.0</v>
      </c>
      <c r="K22" s="105">
        <v>0.0</v>
      </c>
      <c r="L22" s="105">
        <v>0.0</v>
      </c>
      <c r="M22" s="105">
        <v>5.0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0.25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5.0</v>
      </c>
      <c r="H24" s="105">
        <v>3.0</v>
      </c>
      <c r="I24" s="105">
        <v>1.0</v>
      </c>
      <c r="J24" s="105">
        <v>1.0</v>
      </c>
      <c r="K24" s="105">
        <v>1.0</v>
      </c>
      <c r="L24" s="105">
        <v>0.0</v>
      </c>
      <c r="M24" s="105">
        <v>3.0</v>
      </c>
      <c r="N24" s="105">
        <v>0.0</v>
      </c>
      <c r="O24" s="105">
        <v>0.0</v>
      </c>
      <c r="P24" s="105">
        <v>0.0</v>
      </c>
      <c r="Q24" s="105">
        <v>0.0</v>
      </c>
      <c r="R24" s="105">
        <v>3.0</v>
      </c>
      <c r="S24" s="105">
        <v>1.0</v>
      </c>
      <c r="T24" s="105">
        <v>1256.0</v>
      </c>
      <c r="U24" s="66">
        <f t="shared" si="2"/>
        <v>0.3333333333</v>
      </c>
      <c r="V24" s="66">
        <f t="shared" si="3"/>
        <v>0.6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8.0</v>
      </c>
      <c r="H28" s="105">
        <v>1.0</v>
      </c>
      <c r="I28" s="105">
        <v>1.0</v>
      </c>
      <c r="J28" s="105">
        <v>1.0</v>
      </c>
      <c r="K28" s="105">
        <v>1.0</v>
      </c>
      <c r="L28" s="105">
        <v>1.0</v>
      </c>
      <c r="M28" s="105">
        <v>11.0</v>
      </c>
      <c r="N28" s="105">
        <v>0.0</v>
      </c>
      <c r="O28" s="105">
        <v>0.0</v>
      </c>
      <c r="P28" s="105">
        <v>0.0</v>
      </c>
      <c r="Q28" s="105">
        <v>0.0</v>
      </c>
      <c r="R28" s="105">
        <v>1.0</v>
      </c>
      <c r="S28" s="105">
        <v>1.0</v>
      </c>
      <c r="T28" s="105">
        <v>1350.0</v>
      </c>
      <c r="U28" s="66">
        <f t="shared" si="2"/>
        <v>1</v>
      </c>
      <c r="V28" s="66">
        <f t="shared" si="3"/>
        <v>0.25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3.0</v>
      </c>
      <c r="H29" s="105">
        <v>1.0</v>
      </c>
      <c r="I29" s="105">
        <v>1.0</v>
      </c>
      <c r="J29" s="105">
        <v>1.0</v>
      </c>
      <c r="K29" s="105">
        <v>0.0</v>
      </c>
      <c r="L29" s="105">
        <v>0.0</v>
      </c>
      <c r="M29" s="105">
        <v>10.0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1.0</v>
      </c>
      <c r="S29" s="105">
        <v>1.0</v>
      </c>
      <c r="T29" s="105">
        <v>1864.0</v>
      </c>
      <c r="U29" s="66">
        <f t="shared" si="2"/>
        <v>1</v>
      </c>
      <c r="V29" s="66">
        <f t="shared" si="3"/>
        <v>0.3333333333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0.0</v>
      </c>
      <c r="H30" s="105">
        <v>1.0</v>
      </c>
      <c r="I30" s="105">
        <v>1.0</v>
      </c>
      <c r="J30" s="105">
        <v>1.0</v>
      </c>
      <c r="K30" s="105">
        <v>0.0</v>
      </c>
      <c r="L30" s="105">
        <v>0.0</v>
      </c>
      <c r="M30" s="105">
        <v>2.0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1560.0</v>
      </c>
      <c r="U30" s="66">
        <f t="shared" si="2"/>
        <v>1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6806</v>
      </c>
      <c r="D2" s="9"/>
      <c r="E2" s="8">
        <f t="shared" ref="E2:R2" si="1">SUM(E5,E11)</f>
        <v>6006</v>
      </c>
      <c r="F2" s="8">
        <f t="shared" si="1"/>
        <v>27</v>
      </c>
      <c r="G2" s="10">
        <f t="shared" si="1"/>
        <v>11</v>
      </c>
      <c r="H2" s="10">
        <f t="shared" si="1"/>
        <v>5</v>
      </c>
      <c r="I2" s="10">
        <f t="shared" si="1"/>
        <v>2</v>
      </c>
      <c r="J2" s="10">
        <f t="shared" si="1"/>
        <v>1</v>
      </c>
      <c r="K2" s="10">
        <f t="shared" si="1"/>
        <v>5</v>
      </c>
      <c r="L2" s="10">
        <f t="shared" si="1"/>
        <v>2</v>
      </c>
      <c r="M2" s="10">
        <f t="shared" si="1"/>
        <v>46</v>
      </c>
      <c r="N2" s="10">
        <f t="shared" si="1"/>
        <v>0</v>
      </c>
      <c r="O2" s="10">
        <f t="shared" si="1"/>
        <v>0</v>
      </c>
      <c r="P2" s="10">
        <f t="shared" si="1"/>
        <v>6</v>
      </c>
      <c r="Q2" s="10">
        <f t="shared" si="1"/>
        <v>2</v>
      </c>
      <c r="R2" s="10">
        <f t="shared" si="1"/>
        <v>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1361.2</v>
      </c>
      <c r="F4" s="20">
        <f>IFERROR((G2+R2)/F2,0)</f>
        <v>0.6296296296</v>
      </c>
      <c r="G4" s="20">
        <f>IFERROR(H2/G2,0)</f>
        <v>0.4545454545</v>
      </c>
      <c r="H4" s="19">
        <f>(C2/C4)</f>
        <v>200.1764706</v>
      </c>
      <c r="I4" s="21"/>
      <c r="J4" s="20">
        <f>IFERROR(J2/I2,0)</f>
        <v>0.5</v>
      </c>
      <c r="K4" s="21"/>
      <c r="L4" s="20">
        <f>IFERROR(L2/K2,0)</f>
        <v>0.4</v>
      </c>
      <c r="M4" s="22">
        <f>IFERROR(M2/G2,0)</f>
        <v>4.181818182</v>
      </c>
      <c r="N4" s="21"/>
      <c r="O4" s="20">
        <f>IFERROR(O2/N2,0)</f>
        <v>0</v>
      </c>
      <c r="P4" s="22"/>
      <c r="Q4" s="20">
        <f>IFERROR(Q2/P2,0)</f>
        <v>0.3333333333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6806</v>
      </c>
      <c r="D5" s="26"/>
      <c r="E5" s="27">
        <f>SUMIFS(T:T,A:A,B5,D:D,"Y")</f>
        <v>6006</v>
      </c>
      <c r="F5" s="8">
        <f>SUMIF(A:A,B5,G:G)</f>
        <v>27</v>
      </c>
      <c r="G5" s="10">
        <f>SUMIF(A:A,B5,H:H)</f>
        <v>11</v>
      </c>
      <c r="H5" s="10">
        <f>SUMIF(A:A,B5,I:I)</f>
        <v>5</v>
      </c>
      <c r="I5" s="10">
        <f>SUMIF(A:A,B5,P:P)</f>
        <v>2</v>
      </c>
      <c r="J5" s="10">
        <f>SUMIF(A:A,B5,Q:Q)</f>
        <v>1</v>
      </c>
      <c r="K5" s="10">
        <f>SUMIF(A:A,B5,R:R)</f>
        <v>5</v>
      </c>
      <c r="L5" s="10">
        <f>SUMIF(A:A,B5,S:S)</f>
        <v>2</v>
      </c>
      <c r="M5" s="10">
        <f>SUMIF(A:A,B5,M:M)</f>
        <v>46</v>
      </c>
      <c r="N5" s="10">
        <f>SUMIF(A:A,B5,N:N)</f>
        <v>0</v>
      </c>
      <c r="O5" s="10">
        <f>SUMIF(A:A,B5,O:O)</f>
        <v>0</v>
      </c>
      <c r="P5" s="10">
        <f>SUMIF(A:A,B5,J:J)</f>
        <v>6</v>
      </c>
      <c r="Q5" s="10">
        <f>SUMIF(A:A,B5,K:K)</f>
        <v>2</v>
      </c>
      <c r="R5" s="10">
        <f>SUMIF(A:A,B5,L:L)</f>
        <v>6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1361.2</v>
      </c>
      <c r="F7" s="20">
        <f>IFERROR((G5+R5)/F5,0)</f>
        <v>0.6296296296</v>
      </c>
      <c r="G7" s="20">
        <f>IFERROR(H5/G5,0)</f>
        <v>0.4545454545</v>
      </c>
      <c r="H7" s="19">
        <f>(C5/C7)</f>
        <v>400.3529412</v>
      </c>
      <c r="I7" s="21"/>
      <c r="J7" s="20">
        <f>IFERROR(J5/I5,0)</f>
        <v>0.5</v>
      </c>
      <c r="K7" s="21"/>
      <c r="L7" s="20">
        <f>IFERROR(L5/K5,0)</f>
        <v>0.4</v>
      </c>
      <c r="M7" s="22">
        <f>IFERROR(M5/SUM(R5+G5,0),"")</f>
        <v>2.705882353</v>
      </c>
      <c r="N7" s="21"/>
      <c r="O7" s="20">
        <f>IFERROR(O5/N5,0)</f>
        <v>0</v>
      </c>
      <c r="P7" s="22"/>
      <c r="Q7" s="20">
        <f>IFERROR(Q5/P5,0)</f>
        <v>0.3333333333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6806</v>
      </c>
      <c r="D8" s="36"/>
      <c r="E8" s="37">
        <f>SUMIFS(T:T,B:B,B8,D:D,"Y")</f>
        <v>6006</v>
      </c>
      <c r="F8" s="38">
        <f>SUMIF(B19:B1129,B8,G19:G1129)</f>
        <v>27</v>
      </c>
      <c r="G8" s="39">
        <f>SUMIF(B19:B1129,B8,H19:H1129)</f>
        <v>11</v>
      </c>
      <c r="H8" s="38">
        <f>SUMIF(B19:B1129,B8,I19:I1129)</f>
        <v>5</v>
      </c>
      <c r="I8" s="39">
        <f>SUMIF(B19:B1129,B8,P19:P1129)</f>
        <v>2</v>
      </c>
      <c r="J8" s="39">
        <f>SUMIF(B19:B1129,B8,Q19:Q1129)</f>
        <v>1</v>
      </c>
      <c r="K8" s="39">
        <f>SUMIF(B19:B1129,B8,R19:R1129)</f>
        <v>5</v>
      </c>
      <c r="L8" s="39">
        <f>SUMIF(B19:B1129,B8,S19:S1129)</f>
        <v>2</v>
      </c>
      <c r="M8" s="39">
        <f>SUMIF(B19:B1129,B8,M19:M1129)</f>
        <v>46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6</v>
      </c>
      <c r="Q8" s="39">
        <f>SUMIF(B19:B1129,B8,K19:K1129)</f>
        <v>2</v>
      </c>
      <c r="R8" s="38">
        <f>SUMIF(B19:B1129,B8,L19:L1129)</f>
        <v>6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1361.2</v>
      </c>
      <c r="F10" s="51">
        <f>IFERROR((G8+R8)/F8,0)</f>
        <v>0.6296296296</v>
      </c>
      <c r="G10" s="51">
        <f>IFERROR(H8/G8,0)</f>
        <v>0.4545454545</v>
      </c>
      <c r="H10" s="50">
        <f>(C8/C10)</f>
        <v>425.375</v>
      </c>
      <c r="I10" s="46"/>
      <c r="J10" s="51">
        <f>IFERROR(J8/I8,0)</f>
        <v>0.5</v>
      </c>
      <c r="K10" s="46"/>
      <c r="L10" s="51">
        <f>IFERROR(L8/K8,0)</f>
        <v>0.4</v>
      </c>
      <c r="M10" s="52">
        <f>IFERROR(M8/SUM(G8+R8,0),"")</f>
        <v>2.705882353</v>
      </c>
      <c r="N10" s="46"/>
      <c r="O10" s="51">
        <f>IFERROR(O8/N8,0)</f>
        <v>0</v>
      </c>
      <c r="P10" s="53"/>
      <c r="Q10" s="51">
        <f>IFERROR(Q8/P8,0)</f>
        <v>0.3333333333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2.0</v>
      </c>
      <c r="I21" s="105">
        <v>1.0</v>
      </c>
      <c r="J21" s="105">
        <v>0.0</v>
      </c>
      <c r="K21" s="105">
        <v>0.0</v>
      </c>
      <c r="L21" s="105">
        <v>0.0</v>
      </c>
      <c r="M21" s="105">
        <v>2.0</v>
      </c>
      <c r="N21" s="105">
        <v>0.0</v>
      </c>
      <c r="O21" s="105">
        <v>0.0</v>
      </c>
      <c r="P21" s="105">
        <v>2.0</v>
      </c>
      <c r="Q21" s="105">
        <v>1.0</v>
      </c>
      <c r="R21" s="105">
        <v>0.0</v>
      </c>
      <c r="S21" s="105">
        <v>0.0</v>
      </c>
      <c r="T21" s="105">
        <v>1647.0</v>
      </c>
      <c r="U21" s="66">
        <f t="shared" si="2"/>
        <v>0.5</v>
      </c>
      <c r="V21" s="66">
        <f t="shared" si="3"/>
        <v>0.6666666667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5.0</v>
      </c>
      <c r="H22" s="105">
        <v>1.0</v>
      </c>
      <c r="I22" s="105">
        <v>1.0</v>
      </c>
      <c r="J22" s="105">
        <v>0.0</v>
      </c>
      <c r="K22" s="105">
        <v>0.0</v>
      </c>
      <c r="L22" s="105">
        <v>0.0</v>
      </c>
      <c r="M22" s="105">
        <v>3.0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1003.0</v>
      </c>
      <c r="U22" s="66">
        <f t="shared" si="2"/>
        <v>1</v>
      </c>
      <c r="V22" s="66">
        <f t="shared" si="3"/>
        <v>0.2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7.0</v>
      </c>
      <c r="H24" s="105">
        <v>4.0</v>
      </c>
      <c r="I24" s="105">
        <v>2.0</v>
      </c>
      <c r="J24" s="105">
        <v>1.0</v>
      </c>
      <c r="K24" s="105">
        <v>1.0</v>
      </c>
      <c r="L24" s="105">
        <v>3.0</v>
      </c>
      <c r="M24" s="105">
        <v>7.0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3356.0</v>
      </c>
      <c r="U24" s="66">
        <f t="shared" si="2"/>
        <v>0.5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1.0</v>
      </c>
      <c r="I25" s="105">
        <v>1.0</v>
      </c>
      <c r="J25" s="105">
        <v>1.0</v>
      </c>
      <c r="K25" s="105">
        <v>1.0</v>
      </c>
      <c r="L25" s="105">
        <v>1.0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1.0</v>
      </c>
      <c r="T25" s="105">
        <v>800.0</v>
      </c>
      <c r="U25" s="66">
        <f t="shared" si="2"/>
        <v>1</v>
      </c>
      <c r="V25" s="66">
        <f t="shared" si="3"/>
        <v>1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5.0</v>
      </c>
      <c r="H28" s="105">
        <v>1.0</v>
      </c>
      <c r="I28" s="105">
        <v>0.0</v>
      </c>
      <c r="J28" s="105">
        <v>3.0</v>
      </c>
      <c r="K28" s="105">
        <v>0.0</v>
      </c>
      <c r="L28" s="105">
        <v>2.0</v>
      </c>
      <c r="M28" s="105">
        <v>19.0</v>
      </c>
      <c r="N28" s="105">
        <v>0.0</v>
      </c>
      <c r="O28" s="105">
        <v>0.0</v>
      </c>
      <c r="P28" s="105">
        <v>0.0</v>
      </c>
      <c r="Q28" s="105">
        <v>0.0</v>
      </c>
      <c r="R28" s="105">
        <v>3.0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0.6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5.0</v>
      </c>
      <c r="H31" s="105">
        <v>2.0</v>
      </c>
      <c r="I31" s="105">
        <v>0.0</v>
      </c>
      <c r="J31" s="105">
        <v>1.0</v>
      </c>
      <c r="K31" s="105">
        <v>0.0</v>
      </c>
      <c r="L31" s="105">
        <v>0.0</v>
      </c>
      <c r="M31" s="105">
        <v>15.0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0.4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5192</v>
      </c>
      <c r="D2" s="9"/>
      <c r="E2" s="8">
        <f t="shared" ref="E2:R2" si="1">SUM(E5,E11)</f>
        <v>5192</v>
      </c>
      <c r="F2" s="8">
        <f t="shared" si="1"/>
        <v>25</v>
      </c>
      <c r="G2" s="10">
        <f t="shared" si="1"/>
        <v>16</v>
      </c>
      <c r="H2" s="10">
        <f t="shared" si="1"/>
        <v>2</v>
      </c>
      <c r="I2" s="10">
        <f t="shared" si="1"/>
        <v>1</v>
      </c>
      <c r="J2" s="10">
        <f t="shared" si="1"/>
        <v>1</v>
      </c>
      <c r="K2" s="10">
        <f t="shared" si="1"/>
        <v>5</v>
      </c>
      <c r="L2" s="10">
        <f t="shared" si="1"/>
        <v>2</v>
      </c>
      <c r="M2" s="10">
        <f t="shared" si="1"/>
        <v>44</v>
      </c>
      <c r="N2" s="10">
        <f t="shared" si="1"/>
        <v>2</v>
      </c>
      <c r="O2" s="10">
        <f t="shared" si="1"/>
        <v>0</v>
      </c>
      <c r="P2" s="10">
        <f t="shared" si="1"/>
        <v>4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2596</v>
      </c>
      <c r="F4" s="20">
        <f>IFERROR((G2+R2)/F2,0)</f>
        <v>0.68</v>
      </c>
      <c r="G4" s="20">
        <f>IFERROR(H2/G2,0)</f>
        <v>0.125</v>
      </c>
      <c r="H4" s="19">
        <f>(C2/C4)</f>
        <v>152.7058824</v>
      </c>
      <c r="I4" s="21"/>
      <c r="J4" s="20">
        <f>IFERROR(J2/I2,0)</f>
        <v>1</v>
      </c>
      <c r="K4" s="21"/>
      <c r="L4" s="20">
        <f>IFERROR(L2/K2,0)</f>
        <v>0.4</v>
      </c>
      <c r="M4" s="22">
        <f>IFERROR(M2/G2,0)</f>
        <v>2.75</v>
      </c>
      <c r="N4" s="21"/>
      <c r="O4" s="20">
        <f>IFERROR(O2/N2,0)</f>
        <v>0</v>
      </c>
      <c r="P4" s="22"/>
      <c r="Q4" s="20">
        <f>IFERROR(Q2/P2,0)</f>
        <v>0.25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5192</v>
      </c>
      <c r="D5" s="26"/>
      <c r="E5" s="27">
        <f>SUMIFS(T:T,A:A,B5,D:D,"Y")</f>
        <v>5192</v>
      </c>
      <c r="F5" s="8">
        <f>SUMIF(A:A,B5,G:G)</f>
        <v>25</v>
      </c>
      <c r="G5" s="10">
        <f>SUMIF(A:A,B5,H:H)</f>
        <v>16</v>
      </c>
      <c r="H5" s="10">
        <f>SUMIF(A:A,B5,I:I)</f>
        <v>2</v>
      </c>
      <c r="I5" s="10">
        <f>SUMIF(A:A,B5,P:P)</f>
        <v>1</v>
      </c>
      <c r="J5" s="10">
        <f>SUMIF(A:A,B5,Q:Q)</f>
        <v>1</v>
      </c>
      <c r="K5" s="10">
        <f>SUMIF(A:A,B5,R:R)</f>
        <v>5</v>
      </c>
      <c r="L5" s="10">
        <f>SUMIF(A:A,B5,S:S)</f>
        <v>2</v>
      </c>
      <c r="M5" s="10">
        <f>SUMIF(A:A,B5,M:M)</f>
        <v>44</v>
      </c>
      <c r="N5" s="10">
        <f>SUMIF(A:A,B5,N:N)</f>
        <v>2</v>
      </c>
      <c r="O5" s="10">
        <f>SUMIF(A:A,B5,O:O)</f>
        <v>0</v>
      </c>
      <c r="P5" s="10">
        <f>SUMIF(A:A,B5,J:J)</f>
        <v>4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2596</v>
      </c>
      <c r="F7" s="20">
        <f>IFERROR((G5+R5)/F5,0)</f>
        <v>0.68</v>
      </c>
      <c r="G7" s="20">
        <f>IFERROR(H5/G5,0)</f>
        <v>0.125</v>
      </c>
      <c r="H7" s="19">
        <f>(C5/C7)</f>
        <v>305.4117647</v>
      </c>
      <c r="I7" s="21"/>
      <c r="J7" s="20">
        <f>IFERROR(J5/I5,0)</f>
        <v>1</v>
      </c>
      <c r="K7" s="21"/>
      <c r="L7" s="20">
        <f>IFERROR(L5/K5,0)</f>
        <v>0.4</v>
      </c>
      <c r="M7" s="22">
        <f>IFERROR(M5/SUM(R5+G5,0),"")</f>
        <v>2.588235294</v>
      </c>
      <c r="N7" s="21"/>
      <c r="O7" s="20">
        <f>IFERROR(O5/N5,0)</f>
        <v>0</v>
      </c>
      <c r="P7" s="22"/>
      <c r="Q7" s="20">
        <f>IFERROR(Q5/P5,0)</f>
        <v>0.25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5192</v>
      </c>
      <c r="D8" s="36"/>
      <c r="E8" s="37">
        <f>SUMIFS(T:T,B:B,B8,D:D,"Y")</f>
        <v>5192</v>
      </c>
      <c r="F8" s="38">
        <f>SUMIF(B19:B1129,B8,G19:G1129)</f>
        <v>25</v>
      </c>
      <c r="G8" s="39">
        <f>SUMIF(B19:B1129,B8,H19:H1129)</f>
        <v>16</v>
      </c>
      <c r="H8" s="38">
        <f>SUMIF(B19:B1129,B8,I19:I1129)</f>
        <v>2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5</v>
      </c>
      <c r="L8" s="39">
        <f>SUMIF(B19:B1129,B8,S19:S1129)</f>
        <v>2</v>
      </c>
      <c r="M8" s="39">
        <f>SUMIF(B19:B1129,B8,M19:M1129)</f>
        <v>44</v>
      </c>
      <c r="N8" s="39">
        <f>SUMIF(B19:B1129,B8,N19:N1129)</f>
        <v>2</v>
      </c>
      <c r="O8" s="38">
        <f>SUMIF(B19:B1129,B8,O19:O1129)</f>
        <v>0</v>
      </c>
      <c r="P8" s="39">
        <f>SUMIF(B19:B1129,B8,J19:J1129)</f>
        <v>4</v>
      </c>
      <c r="Q8" s="39">
        <f>SUMIF(B19:B1129,B8,K19:K1129)</f>
        <v>1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2596</v>
      </c>
      <c r="F10" s="51">
        <f>IFERROR((G8+R8)/F8,0)</f>
        <v>0.68</v>
      </c>
      <c r="G10" s="51">
        <f>IFERROR(H8/G8,0)</f>
        <v>0.125</v>
      </c>
      <c r="H10" s="50">
        <f>(C8/C10)</f>
        <v>324.5</v>
      </c>
      <c r="I10" s="46"/>
      <c r="J10" s="51">
        <f>IFERROR(J8/I8,0)</f>
        <v>1</v>
      </c>
      <c r="K10" s="46"/>
      <c r="L10" s="51">
        <f>IFERROR(L8/K8,0)</f>
        <v>0.4</v>
      </c>
      <c r="M10" s="52">
        <f>IFERROR(M8/SUM(G8+R8,0),"")</f>
        <v>2.588235294</v>
      </c>
      <c r="N10" s="46"/>
      <c r="O10" s="51">
        <f>IFERROR(O8/N8,0)</f>
        <v>0</v>
      </c>
      <c r="P10" s="53"/>
      <c r="Q10" s="51">
        <f>IFERROR(Q8/P8,0)</f>
        <v>0.25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8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1.0</v>
      </c>
      <c r="I21" s="105">
        <v>1.0</v>
      </c>
      <c r="J21" s="105">
        <v>0.0</v>
      </c>
      <c r="K21" s="105">
        <v>0.0</v>
      </c>
      <c r="L21" s="105">
        <v>0.0</v>
      </c>
      <c r="M21" s="105">
        <v>2.0</v>
      </c>
      <c r="N21" s="105">
        <v>0.0</v>
      </c>
      <c r="O21" s="105">
        <v>0.0</v>
      </c>
      <c r="P21" s="105">
        <v>1.0</v>
      </c>
      <c r="Q21" s="105">
        <v>1.0</v>
      </c>
      <c r="R21" s="105">
        <v>0.0</v>
      </c>
      <c r="S21" s="105">
        <v>0.0</v>
      </c>
      <c r="T21" s="105">
        <v>1681.0</v>
      </c>
      <c r="U21" s="66">
        <f t="shared" si="2"/>
        <v>1</v>
      </c>
      <c r="V21" s="66">
        <f t="shared" si="3"/>
        <v>0.3333333333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2.0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10.0</v>
      </c>
      <c r="H24" s="105">
        <v>2.0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3511.0</v>
      </c>
      <c r="U24" s="66">
        <f t="shared" si="2"/>
        <v>0</v>
      </c>
      <c r="V24" s="66">
        <f t="shared" si="3"/>
        <v>0.2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6.0</v>
      </c>
      <c r="H28" s="105">
        <v>3.0</v>
      </c>
      <c r="I28" s="105">
        <v>1.0</v>
      </c>
      <c r="J28" s="105">
        <v>3.0</v>
      </c>
      <c r="K28" s="105">
        <v>1.0</v>
      </c>
      <c r="L28" s="105">
        <v>1.0</v>
      </c>
      <c r="M28" s="105">
        <v>20.0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4.0</v>
      </c>
      <c r="S28" s="105">
        <v>1.0</v>
      </c>
      <c r="T28" s="105">
        <v>0.0</v>
      </c>
      <c r="U28" s="66">
        <f t="shared" si="2"/>
        <v>0.3333333333</v>
      </c>
      <c r="V28" s="66">
        <f t="shared" si="3"/>
        <v>0.6666666667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6.0</v>
      </c>
      <c r="I29" s="105">
        <v>0.0</v>
      </c>
      <c r="J29" s="105">
        <v>1.0</v>
      </c>
      <c r="K29" s="105">
        <v>0.0</v>
      </c>
      <c r="L29" s="105">
        <v>0.0</v>
      </c>
      <c r="M29" s="105">
        <v>10.0</v>
      </c>
      <c r="N29" s="105">
        <v>2.0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10">
        <v>0.0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1.0</v>
      </c>
      <c r="H30" s="105">
        <v>2.0</v>
      </c>
      <c r="I30" s="105">
        <v>0.0</v>
      </c>
      <c r="J30" s="105">
        <v>0.0</v>
      </c>
      <c r="K30" s="105">
        <v>0.0</v>
      </c>
      <c r="L30" s="105">
        <v>0.0</v>
      </c>
      <c r="M30" s="105">
        <v>6.0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>IFERROR(I30/H30,0)</f>
        <v>0</v>
      </c>
      <c r="V30" s="66">
        <f t="shared" si="3"/>
        <v>2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3.0</v>
      </c>
      <c r="H31" s="105">
        <v>2.0</v>
      </c>
      <c r="I31" s="105">
        <v>0.0</v>
      </c>
      <c r="J31" s="105">
        <v>0.0</v>
      </c>
      <c r="K31" s="105">
        <v>0.0</v>
      </c>
      <c r="L31" s="105">
        <v>0.0</v>
      </c>
      <c r="M31" s="105">
        <v>6.0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10">
        <v>0.0</v>
      </c>
      <c r="V31" s="66">
        <f t="shared" si="3"/>
        <v>0.6666666667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ref="U32:U36" si="4">IFERROR(I32/H32,0)</f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5">IFERROR(I38/H38,0)</f>
        <v>0</v>
      </c>
      <c r="V38" s="66">
        <f t="shared" ref="V38:V54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7143</v>
      </c>
      <c r="D2" s="9"/>
      <c r="E2" s="8">
        <f t="shared" ref="E2:R2" si="1">SUM(E5,E11)</f>
        <v>7143</v>
      </c>
      <c r="F2" s="8">
        <f t="shared" si="1"/>
        <v>12</v>
      </c>
      <c r="G2" s="10">
        <f t="shared" si="1"/>
        <v>6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6</v>
      </c>
      <c r="L2" s="10">
        <f t="shared" si="1"/>
        <v>4</v>
      </c>
      <c r="M2" s="10">
        <f t="shared" si="1"/>
        <v>10</v>
      </c>
      <c r="N2" s="10">
        <f t="shared" si="1"/>
        <v>0</v>
      </c>
      <c r="O2" s="10">
        <f t="shared" si="1"/>
        <v>0</v>
      </c>
      <c r="P2" s="10">
        <f t="shared" si="1"/>
        <v>2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1785.75</v>
      </c>
      <c r="F4" s="20">
        <f>IFERROR((G2+R2)/F2,0)</f>
        <v>0.5833333333</v>
      </c>
      <c r="G4" s="20">
        <f>IFERROR(H2/G2,0)</f>
        <v>0.6666666667</v>
      </c>
      <c r="H4" s="19">
        <f>(C2/C4)</f>
        <v>210.0882353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1.666666667</v>
      </c>
      <c r="N4" s="21"/>
      <c r="O4" s="20">
        <f>IFERROR(O2/N2,0)</f>
        <v>0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7143</v>
      </c>
      <c r="D5" s="26"/>
      <c r="E5" s="27">
        <f>SUMIFS(T:T,A:A,B5,D:D,"Y")</f>
        <v>7143</v>
      </c>
      <c r="F5" s="8">
        <f>SUMIF(A:A,B5,G:G)</f>
        <v>12</v>
      </c>
      <c r="G5" s="10">
        <f>SUMIF(A:A,B5,H:H)</f>
        <v>6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6</v>
      </c>
      <c r="L5" s="10">
        <f>SUMIF(A:A,B5,S:S)</f>
        <v>4</v>
      </c>
      <c r="M5" s="10">
        <f>SUMIF(A:A,B5,M:M)</f>
        <v>10</v>
      </c>
      <c r="N5" s="10">
        <f>SUMIF(A:A,B5,N:N)</f>
        <v>0</v>
      </c>
      <c r="O5" s="10">
        <f>SUMIF(A:A,B5,O:O)</f>
        <v>0</v>
      </c>
      <c r="P5" s="10">
        <f>SUMIF(A:A,B5,J:J)</f>
        <v>2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1785.75</v>
      </c>
      <c r="F7" s="20">
        <f>IFERROR((G5+R5)/F5,0)</f>
        <v>0.5833333333</v>
      </c>
      <c r="G7" s="20">
        <f>IFERROR(H5/G5,0)</f>
        <v>0.6666666667</v>
      </c>
      <c r="H7" s="19">
        <f>(C5/C7)</f>
        <v>420.1764706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1.428571429</v>
      </c>
      <c r="N7" s="21"/>
      <c r="O7" s="20">
        <f>IFERROR(O5/N5,0)</f>
        <v>0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7143</v>
      </c>
      <c r="D8" s="36"/>
      <c r="E8" s="37">
        <f>SUMIFS(T:T,B:B,B8,D:D,"Y")</f>
        <v>7143</v>
      </c>
      <c r="F8" s="38">
        <f>SUMIF(B19:B1129,B8,G19:G1129)</f>
        <v>12</v>
      </c>
      <c r="G8" s="39">
        <f>SUMIF(B19:B1129,B8,H19:H1129)</f>
        <v>6</v>
      </c>
      <c r="H8" s="38">
        <f>SUMIF(B19:B1129,B8,I19:I1129)</f>
        <v>4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6</v>
      </c>
      <c r="L8" s="39">
        <f>SUMIF(B19:B1129,B8,S19:S1129)</f>
        <v>4</v>
      </c>
      <c r="M8" s="39">
        <f>SUMIF(B19:B1129,B8,M19:M1129)</f>
        <v>10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1785.75</v>
      </c>
      <c r="F10" s="51">
        <f>IFERROR((G8+R8)/F8,0)</f>
        <v>0.5833333333</v>
      </c>
      <c r="G10" s="51">
        <f>IFERROR(H8/G8,0)</f>
        <v>0.6666666667</v>
      </c>
      <c r="H10" s="50">
        <f>(C8/C10)</f>
        <v>446.4375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1.428571429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4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7.0</v>
      </c>
      <c r="H24" s="105">
        <v>5.0</v>
      </c>
      <c r="I24" s="105">
        <v>3.0</v>
      </c>
      <c r="J24" s="105">
        <v>1.0</v>
      </c>
      <c r="K24" s="105">
        <v>1.0</v>
      </c>
      <c r="L24" s="105">
        <v>1.0</v>
      </c>
      <c r="M24" s="105">
        <v>10.0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5.0</v>
      </c>
      <c r="S24" s="105">
        <v>3.0</v>
      </c>
      <c r="T24" s="105">
        <v>4916.0</v>
      </c>
      <c r="U24" s="66">
        <f t="shared" si="2"/>
        <v>0.6</v>
      </c>
      <c r="V24" s="66">
        <f t="shared" si="3"/>
        <v>0.8571428571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65"/>
      <c r="T25" s="105">
        <v>0.0</v>
      </c>
      <c r="U25" s="110">
        <v>0.0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ref="U26:U28" si="4">IFERROR(I26/H26,0)</f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4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4.0</v>
      </c>
      <c r="H28" s="105">
        <v>1.0</v>
      </c>
      <c r="I28" s="105">
        <v>1.0</v>
      </c>
      <c r="J28" s="105">
        <v>1.0</v>
      </c>
      <c r="K28" s="105">
        <v>1.0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1.0</v>
      </c>
      <c r="S28" s="105">
        <v>1.0</v>
      </c>
      <c r="T28" s="105">
        <v>2227.0</v>
      </c>
      <c r="U28" s="66">
        <f t="shared" si="4"/>
        <v>1</v>
      </c>
      <c r="V28" s="66">
        <f t="shared" si="3"/>
        <v>0.25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10">
        <v>0.0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>IFERROR(I30/H30,0)</f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10">
        <v>0.0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ref="U32:U36" si="5">IFERROR(I32/H32,0)</f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5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5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6">IFERROR(I38/H38,0)</f>
        <v>0</v>
      </c>
      <c r="V38" s="66">
        <f t="shared" ref="V38:V54" si="7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6"/>
        <v>0</v>
      </c>
      <c r="V39" s="66">
        <f t="shared" si="7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6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6"/>
        <v>0</v>
      </c>
      <c r="V50" s="66">
        <f t="shared" si="7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6"/>
        <v>0</v>
      </c>
      <c r="V52" s="66">
        <f t="shared" si="7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6"/>
        <v>0</v>
      </c>
      <c r="V53" s="66">
        <f t="shared" si="7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6"/>
        <v>0</v>
      </c>
      <c r="V54" s="66">
        <f t="shared" si="7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10">
        <v>0.0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10">
        <v>0.0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ref="U30:U36" si="4">IFERROR(I30/H30,0)</f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5">IFERROR(I38/H38,0)</f>
        <v>0</v>
      </c>
      <c r="V38" s="66">
        <f t="shared" ref="V38:V54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10767</v>
      </c>
      <c r="D2" s="9"/>
      <c r="E2" s="8">
        <f t="shared" ref="E2:R2" si="1">SUM(E5,E11)</f>
        <v>10767</v>
      </c>
      <c r="F2" s="8">
        <f t="shared" si="1"/>
        <v>26</v>
      </c>
      <c r="G2" s="10">
        <f t="shared" si="1"/>
        <v>16</v>
      </c>
      <c r="H2" s="10">
        <f t="shared" si="1"/>
        <v>6</v>
      </c>
      <c r="I2" s="10">
        <f t="shared" si="1"/>
        <v>3</v>
      </c>
      <c r="J2" s="10">
        <f t="shared" si="1"/>
        <v>1</v>
      </c>
      <c r="K2" s="10">
        <f t="shared" si="1"/>
        <v>1</v>
      </c>
      <c r="L2" s="10">
        <f t="shared" si="1"/>
        <v>1</v>
      </c>
      <c r="M2" s="10">
        <f t="shared" si="1"/>
        <v>41</v>
      </c>
      <c r="N2" s="10">
        <f t="shared" si="1"/>
        <v>3</v>
      </c>
      <c r="O2" s="10">
        <f t="shared" si="1"/>
        <v>3</v>
      </c>
      <c r="P2" s="10">
        <f t="shared" si="1"/>
        <v>5</v>
      </c>
      <c r="Q2" s="10">
        <f t="shared" si="1"/>
        <v>2</v>
      </c>
      <c r="R2" s="10">
        <f t="shared" si="1"/>
        <v>10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1794.5</v>
      </c>
      <c r="F4" s="20">
        <f>IFERROR((G2+R2)/F2,0)</f>
        <v>1</v>
      </c>
      <c r="G4" s="20">
        <f>IFERROR(H2/G2,0)</f>
        <v>0.375</v>
      </c>
      <c r="H4" s="19">
        <f>(C2/C4)</f>
        <v>316.6764706</v>
      </c>
      <c r="I4" s="21"/>
      <c r="J4" s="20">
        <f>IFERROR(J2/I2,0)</f>
        <v>0.3333333333</v>
      </c>
      <c r="K4" s="21"/>
      <c r="L4" s="20">
        <f>IFERROR(L2/K2,0)</f>
        <v>1</v>
      </c>
      <c r="M4" s="22">
        <f>IFERROR(M2/G2,0)</f>
        <v>2.5625</v>
      </c>
      <c r="N4" s="21"/>
      <c r="O4" s="20">
        <f>IFERROR(O2/N2,0)</f>
        <v>1</v>
      </c>
      <c r="P4" s="22"/>
      <c r="Q4" s="20">
        <f>IFERROR(Q2/P2,0)</f>
        <v>0.4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10767</v>
      </c>
      <c r="D5" s="26"/>
      <c r="E5" s="27">
        <f>SUMIFS(T:T,A:A,B5,D:D,"Y")</f>
        <v>10767</v>
      </c>
      <c r="F5" s="8">
        <f>SUMIF(A:A,B5,G:G)</f>
        <v>26</v>
      </c>
      <c r="G5" s="10">
        <f>SUMIF(A:A,B5,H:H)</f>
        <v>16</v>
      </c>
      <c r="H5" s="10">
        <f>SUMIF(A:A,B5,I:I)</f>
        <v>6</v>
      </c>
      <c r="I5" s="10">
        <f>SUMIF(A:A,B5,P:P)</f>
        <v>3</v>
      </c>
      <c r="J5" s="10">
        <f>SUMIF(A:A,B5,Q:Q)</f>
        <v>1</v>
      </c>
      <c r="K5" s="10">
        <f>SUMIF(A:A,B5,R:R)</f>
        <v>1</v>
      </c>
      <c r="L5" s="10">
        <f>SUMIF(A:A,B5,S:S)</f>
        <v>1</v>
      </c>
      <c r="M5" s="10">
        <f>SUMIF(A:A,B5,M:M)</f>
        <v>41</v>
      </c>
      <c r="N5" s="10">
        <f>SUMIF(A:A,B5,N:N)</f>
        <v>3</v>
      </c>
      <c r="O5" s="10">
        <f>SUMIF(A:A,B5,O:O)</f>
        <v>3</v>
      </c>
      <c r="P5" s="10">
        <f>SUMIF(A:A,B5,J:J)</f>
        <v>5</v>
      </c>
      <c r="Q5" s="10">
        <f>SUMIF(A:A,B5,K:K)</f>
        <v>2</v>
      </c>
      <c r="R5" s="10">
        <f>SUMIF(A:A,B5,L:L)</f>
        <v>10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1794.5</v>
      </c>
      <c r="F7" s="20">
        <f>IFERROR((G5+R5)/F5,0)</f>
        <v>1</v>
      </c>
      <c r="G7" s="20">
        <f>IFERROR(H5/G5,0)</f>
        <v>0.375</v>
      </c>
      <c r="H7" s="19">
        <f>(C5/C7)</f>
        <v>633.3529412</v>
      </c>
      <c r="I7" s="21"/>
      <c r="J7" s="20">
        <f>IFERROR(J5/I5,0)</f>
        <v>0.3333333333</v>
      </c>
      <c r="K7" s="21"/>
      <c r="L7" s="20">
        <f>IFERROR(L5/K5,0)</f>
        <v>1</v>
      </c>
      <c r="M7" s="22">
        <f>IFERROR(M5/SUM(R5+G5,0),"")</f>
        <v>1.576923077</v>
      </c>
      <c r="N7" s="21"/>
      <c r="O7" s="20">
        <f>IFERROR(O5/N5,0)</f>
        <v>1</v>
      </c>
      <c r="P7" s="22"/>
      <c r="Q7" s="20">
        <f>IFERROR(Q5/P5,0)</f>
        <v>0.4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10767</v>
      </c>
      <c r="D8" s="36"/>
      <c r="E8" s="37">
        <f>SUMIFS(T:T,B:B,B8,D:D,"Y")</f>
        <v>10767</v>
      </c>
      <c r="F8" s="38">
        <f>SUMIF(B19:B1129,B8,G19:G1129)</f>
        <v>26</v>
      </c>
      <c r="G8" s="39">
        <f>SUMIF(B19:B1129,B8,H19:H1129)</f>
        <v>16</v>
      </c>
      <c r="H8" s="38">
        <f>SUMIF(B19:B1129,B8,I19:I1129)</f>
        <v>6</v>
      </c>
      <c r="I8" s="39">
        <f>SUMIF(B19:B1129,B8,P19:P1129)</f>
        <v>3</v>
      </c>
      <c r="J8" s="39">
        <f>SUMIF(B19:B1129,B8,Q19:Q1129)</f>
        <v>1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41</v>
      </c>
      <c r="N8" s="39">
        <f>SUMIF(B19:B1129,B8,N19:N1129)</f>
        <v>3</v>
      </c>
      <c r="O8" s="38">
        <f>SUMIF(B19:B1129,B8,O19:O1129)</f>
        <v>3</v>
      </c>
      <c r="P8" s="39">
        <f>SUMIF(B19:B1129,B8,J19:J1129)</f>
        <v>5</v>
      </c>
      <c r="Q8" s="39">
        <f>SUMIF(B19:B1129,B8,K19:K1129)</f>
        <v>2</v>
      </c>
      <c r="R8" s="38">
        <f>SUMIF(B19:B1129,B8,L19:L1129)</f>
        <v>10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1794.5</v>
      </c>
      <c r="F10" s="51">
        <f>IFERROR((G8+R8)/F8,0)</f>
        <v>1</v>
      </c>
      <c r="G10" s="51">
        <f>IFERROR(H8/G8,0)</f>
        <v>0.375</v>
      </c>
      <c r="H10" s="50">
        <f>(C8/C10)</f>
        <v>672.9375</v>
      </c>
      <c r="I10" s="46"/>
      <c r="J10" s="51">
        <f>IFERROR(J8/I8,0)</f>
        <v>0.3333333333</v>
      </c>
      <c r="K10" s="46"/>
      <c r="L10" s="51">
        <f>IFERROR(L8/K8,0)</f>
        <v>1</v>
      </c>
      <c r="M10" s="52">
        <f>IFERROR(M8/SUM(G8+R8,0),"")</f>
        <v>1.576923077</v>
      </c>
      <c r="N10" s="46"/>
      <c r="O10" s="51">
        <f>IFERROR(O8/N8,0)</f>
        <v>1</v>
      </c>
      <c r="P10" s="53"/>
      <c r="Q10" s="51">
        <f>IFERROR(Q8/P8,0)</f>
        <v>0.4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0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4.0</v>
      </c>
      <c r="H21" s="105">
        <v>2.0</v>
      </c>
      <c r="I21" s="105">
        <v>1.0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2.0</v>
      </c>
      <c r="Q21" s="105">
        <v>1.0</v>
      </c>
      <c r="R21" s="105">
        <v>0.0</v>
      </c>
      <c r="S21" s="105">
        <v>0.0</v>
      </c>
      <c r="T21" s="105">
        <v>1891.0</v>
      </c>
      <c r="U21" s="66">
        <f t="shared" si="2"/>
        <v>0.5</v>
      </c>
      <c r="V21" s="66">
        <f t="shared" si="3"/>
        <v>0.5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2.0</v>
      </c>
      <c r="I22" s="105">
        <v>2.0</v>
      </c>
      <c r="J22" s="105">
        <v>1.0</v>
      </c>
      <c r="K22" s="105">
        <v>1.0</v>
      </c>
      <c r="L22" s="105">
        <v>0.0</v>
      </c>
      <c r="M22" s="105">
        <v>3.0</v>
      </c>
      <c r="N22" s="105">
        <v>1.0</v>
      </c>
      <c r="O22" s="105">
        <v>1.0</v>
      </c>
      <c r="P22" s="105">
        <v>0.0</v>
      </c>
      <c r="Q22" s="105">
        <v>0.0</v>
      </c>
      <c r="R22" s="105">
        <v>0.0</v>
      </c>
      <c r="S22" s="105">
        <v>0.0</v>
      </c>
      <c r="T22" s="105">
        <v>3069.0</v>
      </c>
      <c r="U22" s="66">
        <f t="shared" si="2"/>
        <v>1</v>
      </c>
      <c r="V22" s="66">
        <f t="shared" si="3"/>
        <v>0.6666666667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6.0</v>
      </c>
      <c r="H24" s="105">
        <v>3.0</v>
      </c>
      <c r="I24" s="105">
        <v>2.0</v>
      </c>
      <c r="J24" s="105">
        <v>0.0</v>
      </c>
      <c r="K24" s="105">
        <v>0.0</v>
      </c>
      <c r="L24" s="105">
        <v>1.0</v>
      </c>
      <c r="M24" s="105">
        <v>3.0</v>
      </c>
      <c r="N24" s="105">
        <v>2.0</v>
      </c>
      <c r="O24" s="105">
        <v>2.0</v>
      </c>
      <c r="P24" s="105">
        <v>0.0</v>
      </c>
      <c r="Q24" s="105">
        <v>0.0</v>
      </c>
      <c r="R24" s="105">
        <v>0.0</v>
      </c>
      <c r="S24" s="105">
        <v>0.0</v>
      </c>
      <c r="T24" s="105">
        <v>4007.0</v>
      </c>
      <c r="U24" s="66">
        <f t="shared" si="2"/>
        <v>0.6666666667</v>
      </c>
      <c r="V24" s="66">
        <f t="shared" si="3"/>
        <v>0.6666666667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8.0</v>
      </c>
      <c r="H28" s="105">
        <v>2.0</v>
      </c>
      <c r="I28" s="105">
        <v>1.0</v>
      </c>
      <c r="J28" s="105">
        <v>1.0</v>
      </c>
      <c r="K28" s="105">
        <v>1.0</v>
      </c>
      <c r="L28" s="105">
        <v>0.0</v>
      </c>
      <c r="M28" s="105">
        <v>7.0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1.0</v>
      </c>
      <c r="T28" s="105">
        <v>1800.0</v>
      </c>
      <c r="U28" s="66">
        <f t="shared" si="2"/>
        <v>0.5</v>
      </c>
      <c r="V28" s="66">
        <f t="shared" si="3"/>
        <v>0.25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4.0</v>
      </c>
      <c r="I29" s="105">
        <v>0.0</v>
      </c>
      <c r="J29" s="105">
        <v>3.0</v>
      </c>
      <c r="K29" s="105">
        <v>0.0</v>
      </c>
      <c r="L29" s="105">
        <v>0.0</v>
      </c>
      <c r="M29" s="105">
        <v>22.0</v>
      </c>
      <c r="N29" s="105">
        <v>0.0</v>
      </c>
      <c r="O29" s="105">
        <v>0.0</v>
      </c>
      <c r="P29" s="105">
        <v>0.0</v>
      </c>
      <c r="Q29" s="105">
        <v>0.0</v>
      </c>
      <c r="R29" s="105">
        <v>1.0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1.0</v>
      </c>
      <c r="H30" s="105">
        <v>2.0</v>
      </c>
      <c r="I30" s="105">
        <v>0.0</v>
      </c>
      <c r="J30" s="105">
        <v>0.0</v>
      </c>
      <c r="K30" s="105">
        <v>0.0</v>
      </c>
      <c r="L30" s="105">
        <v>9.0</v>
      </c>
      <c r="M30" s="105">
        <v>0.0</v>
      </c>
      <c r="N30" s="105">
        <v>0.0</v>
      </c>
      <c r="O30" s="105">
        <v>0.0</v>
      </c>
      <c r="P30" s="105">
        <v>1.0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11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4.0</v>
      </c>
      <c r="H31" s="105">
        <v>1.0</v>
      </c>
      <c r="I31" s="105">
        <v>0.0</v>
      </c>
      <c r="J31" s="105">
        <v>0.0</v>
      </c>
      <c r="K31" s="105">
        <v>0.0</v>
      </c>
      <c r="L31" s="105">
        <v>0.0</v>
      </c>
      <c r="M31" s="105">
        <v>6.0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10">
        <v>0.0</v>
      </c>
      <c r="V31" s="66">
        <f t="shared" si="3"/>
        <v>0.25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ref="U32:U36" si="4">IFERROR(I32/H32,0)</f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5">IFERROR(I38/H38,0)</f>
        <v>0</v>
      </c>
      <c r="V38" s="66">
        <f t="shared" ref="V38:V54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3203</v>
      </c>
      <c r="D2" s="9"/>
      <c r="E2" s="8">
        <f t="shared" ref="E2:R2" si="1">SUM(E5,E11)</f>
        <v>1439</v>
      </c>
      <c r="F2" s="8">
        <f t="shared" si="1"/>
        <v>25</v>
      </c>
      <c r="G2" s="10">
        <f t="shared" si="1"/>
        <v>12</v>
      </c>
      <c r="H2" s="10">
        <f t="shared" si="1"/>
        <v>2</v>
      </c>
      <c r="I2" s="10">
        <f t="shared" si="1"/>
        <v>1</v>
      </c>
      <c r="J2" s="10">
        <f t="shared" si="1"/>
        <v>1</v>
      </c>
      <c r="K2" s="10">
        <f t="shared" si="1"/>
        <v>1</v>
      </c>
      <c r="L2" s="10">
        <f t="shared" si="1"/>
        <v>0</v>
      </c>
      <c r="M2" s="10">
        <f t="shared" si="1"/>
        <v>31</v>
      </c>
      <c r="N2" s="10">
        <f t="shared" si="1"/>
        <v>6</v>
      </c>
      <c r="O2" s="10">
        <f t="shared" si="1"/>
        <v>1</v>
      </c>
      <c r="P2" s="10">
        <f t="shared" si="1"/>
        <v>3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1601.5</v>
      </c>
      <c r="F4" s="20">
        <f>IFERROR((G2+R2)/F2,0)</f>
        <v>0.48</v>
      </c>
      <c r="G4" s="20">
        <f>IFERROR(H2/G2,0)</f>
        <v>0.1666666667</v>
      </c>
      <c r="H4" s="19">
        <f>(C2/C4)</f>
        <v>94.20588235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2.583333333</v>
      </c>
      <c r="N4" s="21"/>
      <c r="O4" s="20">
        <f>IFERROR(O2/N2,0)</f>
        <v>0.1666666667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3203</v>
      </c>
      <c r="D5" s="26"/>
      <c r="E5" s="27">
        <f>SUMIFS(T:T,A:A,B5,D:D,"Y")</f>
        <v>1439</v>
      </c>
      <c r="F5" s="8">
        <f>SUMIF(A:A,B5,G:G)</f>
        <v>25</v>
      </c>
      <c r="G5" s="10">
        <f>SUMIF(A:A,B5,H:H)</f>
        <v>12</v>
      </c>
      <c r="H5" s="10">
        <f>SUMIF(A:A,B5,I:I)</f>
        <v>2</v>
      </c>
      <c r="I5" s="10">
        <f>SUMIF(A:A,B5,P:P)</f>
        <v>1</v>
      </c>
      <c r="J5" s="10">
        <f>SUMIF(A:A,B5,Q:Q)</f>
        <v>1</v>
      </c>
      <c r="K5" s="10">
        <f>SUMIF(A:A,B5,R:R)</f>
        <v>1</v>
      </c>
      <c r="L5" s="10">
        <f>SUMIF(A:A,B5,S:S)</f>
        <v>0</v>
      </c>
      <c r="M5" s="10">
        <f>SUMIF(A:A,B5,M:M)</f>
        <v>31</v>
      </c>
      <c r="N5" s="10">
        <f>SUMIF(A:A,B5,N:N)</f>
        <v>6</v>
      </c>
      <c r="O5" s="10">
        <f>SUMIF(A:A,B5,O:O)</f>
        <v>1</v>
      </c>
      <c r="P5" s="10">
        <f>SUMIF(A:A,B5,J:J)</f>
        <v>3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1601.5</v>
      </c>
      <c r="F7" s="20">
        <f>IFERROR((G5+R5)/F5,0)</f>
        <v>0.48</v>
      </c>
      <c r="G7" s="20">
        <f>IFERROR(H5/G5,0)</f>
        <v>0.1666666667</v>
      </c>
      <c r="H7" s="19">
        <f>(C5/C7)</f>
        <v>188.4117647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2.583333333</v>
      </c>
      <c r="N7" s="21"/>
      <c r="O7" s="20">
        <f>IFERROR(O5/N5,0)</f>
        <v>0.1666666667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3203</v>
      </c>
      <c r="D8" s="36"/>
      <c r="E8" s="37">
        <f>SUMIFS(T:T,B:B,B8,D:D,"Y")</f>
        <v>1439</v>
      </c>
      <c r="F8" s="38">
        <f>SUMIF(B19:B1129,B8,G19:G1129)</f>
        <v>25</v>
      </c>
      <c r="G8" s="39">
        <f>SUMIF(B19:B1129,B8,H19:H1129)</f>
        <v>12</v>
      </c>
      <c r="H8" s="38">
        <f>SUMIF(B19:B1129,B8,I19:I1129)</f>
        <v>2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1</v>
      </c>
      <c r="L8" s="39">
        <f>SUMIF(B19:B1129,B8,S19:S1129)</f>
        <v>0</v>
      </c>
      <c r="M8" s="39">
        <f>SUMIF(B19:B1129,B8,M19:M1129)</f>
        <v>31</v>
      </c>
      <c r="N8" s="39">
        <f>SUMIF(B19:B1129,B8,N19:N1129)</f>
        <v>6</v>
      </c>
      <c r="O8" s="38">
        <f>SUMIF(B19:B1129,B8,O19:O1129)</f>
        <v>1</v>
      </c>
      <c r="P8" s="39">
        <f>SUMIF(B19:B1129,B8,J19:J1129)</f>
        <v>3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1601.5</v>
      </c>
      <c r="F10" s="51">
        <f>IFERROR((G8+R8)/F8,0)</f>
        <v>0.48</v>
      </c>
      <c r="G10" s="51">
        <f>IFERROR(H8/G8,0)</f>
        <v>0.1666666667</v>
      </c>
      <c r="H10" s="50">
        <f>(C8/C10)</f>
        <v>200.1875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2.583333333</v>
      </c>
      <c r="N10" s="46"/>
      <c r="O10" s="51">
        <f>IFERROR(O8/N8,0)</f>
        <v>0.1666666667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4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1.0</v>
      </c>
      <c r="I21" s="105">
        <v>1.0</v>
      </c>
      <c r="J21" s="105">
        <v>0.0</v>
      </c>
      <c r="K21" s="105">
        <v>0.0</v>
      </c>
      <c r="L21" s="105">
        <v>0.0</v>
      </c>
      <c r="M21" s="105">
        <v>2.0</v>
      </c>
      <c r="N21" s="105">
        <v>0.0</v>
      </c>
      <c r="O21" s="105">
        <v>0.0</v>
      </c>
      <c r="P21" s="105">
        <v>1.0</v>
      </c>
      <c r="Q21" s="105">
        <v>1.0</v>
      </c>
      <c r="R21" s="105">
        <v>0.0</v>
      </c>
      <c r="S21" s="105">
        <v>0.0</v>
      </c>
      <c r="T21" s="105">
        <v>1439.0</v>
      </c>
      <c r="U21" s="66">
        <f t="shared" si="2"/>
        <v>1</v>
      </c>
      <c r="V21" s="66">
        <f t="shared" si="3"/>
        <v>0.3333333333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1.0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1.0</v>
      </c>
      <c r="I23" s="105">
        <v>1.0</v>
      </c>
      <c r="J23" s="105">
        <v>0.0</v>
      </c>
      <c r="K23" s="105">
        <v>0.0</v>
      </c>
      <c r="L23" s="105">
        <v>0.0</v>
      </c>
      <c r="M23" s="105">
        <v>2.0</v>
      </c>
      <c r="N23" s="105">
        <v>1.0</v>
      </c>
      <c r="O23" s="105">
        <v>1.0</v>
      </c>
      <c r="P23" s="105">
        <v>0.0</v>
      </c>
      <c r="Q23" s="105">
        <v>0.0</v>
      </c>
      <c r="R23" s="105">
        <v>0.0</v>
      </c>
      <c r="S23" s="105">
        <v>0.0</v>
      </c>
      <c r="T23" s="105">
        <v>1764.0</v>
      </c>
      <c r="U23" s="66">
        <f t="shared" si="2"/>
        <v>1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6.0</v>
      </c>
      <c r="H24" s="105">
        <v>2.0</v>
      </c>
      <c r="I24" s="105">
        <v>0.0</v>
      </c>
      <c r="J24" s="105">
        <v>1.0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0.3333333333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1.0</v>
      </c>
      <c r="H25" s="105">
        <v>1.0</v>
      </c>
      <c r="I25" s="105">
        <v>0.0</v>
      </c>
      <c r="J25" s="105">
        <v>1.0</v>
      </c>
      <c r="K25" s="105">
        <v>0.0</v>
      </c>
      <c r="L25" s="105">
        <v>0.0</v>
      </c>
      <c r="M25" s="105">
        <v>0.0</v>
      </c>
      <c r="N25" s="105">
        <v>1.0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110">
        <v>0.0</v>
      </c>
      <c r="V25" s="66">
        <f t="shared" si="3"/>
        <v>1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ref="U26:U27" si="4">IFERROR(I26/H26,0)</f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4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5.0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10">
        <v>0.0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4.0</v>
      </c>
      <c r="I29" s="105">
        <v>0.0</v>
      </c>
      <c r="J29" s="105">
        <v>1.0</v>
      </c>
      <c r="K29" s="105">
        <v>0.0</v>
      </c>
      <c r="L29" s="105">
        <v>0.0</v>
      </c>
      <c r="M29" s="105">
        <v>18.0</v>
      </c>
      <c r="N29" s="105">
        <v>4.0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10">
        <v>0.0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1.0</v>
      </c>
      <c r="H30" s="105">
        <v>1.0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1.0</v>
      </c>
      <c r="S30" s="105">
        <v>0.0</v>
      </c>
      <c r="T30" s="105">
        <v>0.0</v>
      </c>
      <c r="U30" s="66">
        <f t="shared" ref="U30:U36" si="5">IFERROR(I30/H30,0)</f>
        <v>0</v>
      </c>
      <c r="V30" s="66">
        <f t="shared" si="3"/>
        <v>1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5.0</v>
      </c>
      <c r="H31" s="105">
        <v>1.0</v>
      </c>
      <c r="I31" s="105">
        <v>0.0</v>
      </c>
      <c r="J31" s="105">
        <v>0.0</v>
      </c>
      <c r="K31" s="105">
        <v>0.0</v>
      </c>
      <c r="L31" s="105">
        <v>0.0</v>
      </c>
      <c r="M31" s="105">
        <v>9.0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5"/>
        <v>0</v>
      </c>
      <c r="V31" s="66">
        <f t="shared" si="3"/>
        <v>0.2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5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5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5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6">IFERROR(I38/H38,0)</f>
        <v>0</v>
      </c>
      <c r="V38" s="66">
        <f t="shared" ref="V38:V54" si="7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6"/>
        <v>0</v>
      </c>
      <c r="V39" s="66">
        <f t="shared" si="7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6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6"/>
        <v>0</v>
      </c>
      <c r="V50" s="66">
        <f t="shared" si="7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6"/>
        <v>0</v>
      </c>
      <c r="V52" s="66">
        <f t="shared" si="7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6"/>
        <v>0</v>
      </c>
      <c r="V53" s="66">
        <f t="shared" si="7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6"/>
        <v>0</v>
      </c>
      <c r="V54" s="66">
        <f t="shared" si="7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75</v>
      </c>
      <c r="F50" s="8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77</v>
      </c>
      <c r="F51" s="8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/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47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 t="s">
        <v>47</v>
      </c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82</v>
      </c>
      <c r="B1" s="111" t="s">
        <v>83</v>
      </c>
      <c r="C1" s="111" t="s">
        <v>30</v>
      </c>
      <c r="D1" s="111" t="s">
        <v>84</v>
      </c>
      <c r="E1" s="111" t="s">
        <v>0</v>
      </c>
      <c r="F1" s="111" t="s">
        <v>85</v>
      </c>
      <c r="G1" s="111" t="s">
        <v>86</v>
      </c>
      <c r="H1" s="111" t="s">
        <v>87</v>
      </c>
      <c r="I1" s="111" t="s">
        <v>88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89</v>
      </c>
      <c r="B2" s="113" t="s">
        <v>90</v>
      </c>
      <c r="C2" s="113" t="s">
        <v>91</v>
      </c>
      <c r="D2" s="114">
        <v>46148.0</v>
      </c>
      <c r="E2" s="113">
        <v>5125.92</v>
      </c>
      <c r="F2" s="113" t="s">
        <v>92</v>
      </c>
      <c r="G2" s="113" t="s">
        <v>93</v>
      </c>
      <c r="H2" s="113" t="s">
        <v>94</v>
      </c>
      <c r="I2" s="113" t="s">
        <v>95</v>
      </c>
    </row>
    <row r="3">
      <c r="A3" s="113" t="s">
        <v>96</v>
      </c>
      <c r="B3" s="113" t="s">
        <v>97</v>
      </c>
      <c r="C3" s="113" t="s">
        <v>98</v>
      </c>
      <c r="D3" s="114">
        <v>46149.0</v>
      </c>
      <c r="E3" s="113">
        <v>914.28</v>
      </c>
      <c r="F3" s="113" t="s">
        <v>99</v>
      </c>
      <c r="G3" s="113" t="s">
        <v>93</v>
      </c>
      <c r="H3" s="113" t="s">
        <v>100</v>
      </c>
      <c r="I3" s="113" t="s">
        <v>95</v>
      </c>
    </row>
    <row r="4">
      <c r="A4" s="113" t="s">
        <v>101</v>
      </c>
      <c r="B4" s="113" t="s">
        <v>90</v>
      </c>
      <c r="C4" s="113" t="s">
        <v>91</v>
      </c>
      <c r="D4" s="114">
        <v>46148.0</v>
      </c>
      <c r="E4" s="113">
        <v>601.68</v>
      </c>
      <c r="F4" s="113" t="s">
        <v>99</v>
      </c>
      <c r="G4" s="113" t="s">
        <v>93</v>
      </c>
      <c r="H4" s="113" t="s">
        <v>102</v>
      </c>
      <c r="I4" s="113" t="s">
        <v>95</v>
      </c>
    </row>
    <row r="5">
      <c r="A5" s="113" t="s">
        <v>103</v>
      </c>
      <c r="B5" s="113" t="s">
        <v>104</v>
      </c>
      <c r="C5" s="113" t="s">
        <v>98</v>
      </c>
      <c r="D5" s="114">
        <v>46153.0</v>
      </c>
      <c r="E5" s="113">
        <v>2999.76</v>
      </c>
      <c r="F5" s="113" t="s">
        <v>99</v>
      </c>
      <c r="G5" s="113" t="s">
        <v>93</v>
      </c>
      <c r="H5" s="113" t="s">
        <v>105</v>
      </c>
      <c r="I5" s="113" t="s">
        <v>95</v>
      </c>
    </row>
    <row r="6">
      <c r="A6" s="113" t="s">
        <v>106</v>
      </c>
      <c r="B6" s="113" t="s">
        <v>107</v>
      </c>
      <c r="C6" s="113" t="s">
        <v>98</v>
      </c>
      <c r="D6" s="114">
        <v>46154.0</v>
      </c>
      <c r="E6" s="113">
        <v>1439.64</v>
      </c>
      <c r="F6" s="113" t="s">
        <v>99</v>
      </c>
      <c r="G6" s="113" t="s">
        <v>93</v>
      </c>
      <c r="H6" s="113" t="s">
        <v>108</v>
      </c>
      <c r="I6" s="113" t="s">
        <v>109</v>
      </c>
    </row>
    <row r="7">
      <c r="A7" s="113" t="s">
        <v>110</v>
      </c>
      <c r="B7" s="113" t="s">
        <v>90</v>
      </c>
      <c r="C7" s="113" t="s">
        <v>91</v>
      </c>
      <c r="D7" s="114">
        <v>46149.0</v>
      </c>
      <c r="E7" s="113">
        <v>1045.2</v>
      </c>
      <c r="F7" s="113" t="s">
        <v>99</v>
      </c>
      <c r="G7" s="113" t="s">
        <v>93</v>
      </c>
      <c r="H7" s="113" t="s">
        <v>111</v>
      </c>
      <c r="I7" s="113" t="s">
        <v>112</v>
      </c>
    </row>
    <row r="8">
      <c r="A8" s="113" t="s">
        <v>113</v>
      </c>
      <c r="B8" s="113" t="s">
        <v>114</v>
      </c>
      <c r="C8" s="113" t="s">
        <v>91</v>
      </c>
      <c r="D8" s="114">
        <v>46149.0</v>
      </c>
      <c r="E8" s="113">
        <v>1900.92</v>
      </c>
      <c r="F8" s="113" t="s">
        <v>99</v>
      </c>
      <c r="G8" s="113" t="s">
        <v>93</v>
      </c>
      <c r="H8" s="113" t="s">
        <v>115</v>
      </c>
      <c r="I8" s="113" t="s">
        <v>95</v>
      </c>
    </row>
    <row r="9">
      <c r="A9" s="113" t="s">
        <v>116</v>
      </c>
      <c r="B9" s="113" t="s">
        <v>117</v>
      </c>
      <c r="C9" s="113" t="s">
        <v>98</v>
      </c>
      <c r="D9" s="114">
        <v>46154.0</v>
      </c>
      <c r="E9" s="113">
        <v>1131.12</v>
      </c>
      <c r="F9" s="113" t="s">
        <v>99</v>
      </c>
      <c r="G9" s="113" t="s">
        <v>93</v>
      </c>
      <c r="H9" s="113" t="s">
        <v>118</v>
      </c>
      <c r="I9" s="113" t="s">
        <v>95</v>
      </c>
    </row>
    <row r="10">
      <c r="A10" s="113" t="s">
        <v>119</v>
      </c>
      <c r="B10" s="113" t="s">
        <v>97</v>
      </c>
      <c r="C10" s="113" t="s">
        <v>98</v>
      </c>
      <c r="D10" s="114">
        <v>46153.0</v>
      </c>
      <c r="E10" s="113">
        <v>802.32</v>
      </c>
      <c r="F10" s="113" t="s">
        <v>120</v>
      </c>
      <c r="G10" s="113" t="s">
        <v>93</v>
      </c>
      <c r="H10" s="113" t="s">
        <v>121</v>
      </c>
      <c r="I10" s="113" t="s">
        <v>109</v>
      </c>
    </row>
    <row r="11">
      <c r="A11" s="113" t="s">
        <v>122</v>
      </c>
      <c r="B11" s="113" t="s">
        <v>97</v>
      </c>
      <c r="C11" s="113" t="s">
        <v>98</v>
      </c>
      <c r="D11" s="114">
        <v>46153.0</v>
      </c>
      <c r="E11" s="113">
        <v>1136.52</v>
      </c>
      <c r="F11" s="113" t="s">
        <v>99</v>
      </c>
      <c r="G11" s="113" t="s">
        <v>93</v>
      </c>
      <c r="H11" s="113" t="s">
        <v>123</v>
      </c>
      <c r="I11" s="113" t="s">
        <v>95</v>
      </c>
    </row>
    <row r="12">
      <c r="A12" s="113" t="s">
        <v>124</v>
      </c>
      <c r="B12" s="113" t="s">
        <v>107</v>
      </c>
      <c r="C12" s="113" t="s">
        <v>98</v>
      </c>
      <c r="D12" s="114">
        <v>46150.0</v>
      </c>
      <c r="E12" s="113">
        <v>780.0</v>
      </c>
      <c r="F12" s="113" t="s">
        <v>99</v>
      </c>
      <c r="G12" s="113" t="s">
        <v>93</v>
      </c>
      <c r="H12" s="113" t="s">
        <v>125</v>
      </c>
      <c r="I12" s="113" t="s">
        <v>95</v>
      </c>
    </row>
    <row r="13">
      <c r="A13" s="113" t="s">
        <v>126</v>
      </c>
      <c r="B13" s="113" t="s">
        <v>90</v>
      </c>
      <c r="C13" s="113" t="s">
        <v>91</v>
      </c>
      <c r="D13" s="114">
        <v>46147.0</v>
      </c>
      <c r="E13" s="113">
        <v>1030.44</v>
      </c>
      <c r="F13" s="113" t="s">
        <v>99</v>
      </c>
      <c r="G13" s="113" t="s">
        <v>93</v>
      </c>
      <c r="H13" s="113" t="s">
        <v>127</v>
      </c>
      <c r="I13" s="113" t="s">
        <v>95</v>
      </c>
    </row>
  </sheetData>
  <drawing r:id="rId1"/>
</worksheet>
</file>